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inacapcl-my.sharepoint.com/personal/orobles_inacap_cl/Documents/00_P2026/00_Septiembre_26/25.09/Descriptores_Agro/"/>
    </mc:Choice>
  </mc:AlternateContent>
  <xr:revisionPtr revIDLastSave="159" documentId="11_96ABB53CE8E458B94E21876796C6714E6AFD977D" xr6:coauthVersionLast="47" xr6:coauthVersionMax="47" xr10:uidLastSave="{8FEE12D0-BB5C-45BE-B0FB-671456DEC431}"/>
  <bookViews>
    <workbookView xWindow="-120" yWindow="-120" windowWidth="20730" windowHeight="11040" activeTab="1" xr2:uid="{00000000-000D-0000-FFFF-FFFF00000000}"/>
  </bookViews>
  <sheets>
    <sheet name="Matriz 30 descriptores" sheetId="1" r:id="rId1"/>
    <sheet name="Hoja3" sheetId="5" r:id="rId2"/>
    <sheet name="Hoja1" sheetId="3" r:id="rId3"/>
    <sheet name="Resumen" sheetId="2" r:id="rId4"/>
    <sheet name="Hoja2" sheetId="4" r:id="rId5"/>
  </sheets>
  <definedNames>
    <definedName name="_xlnm._FilterDatabase" localSheetId="4" hidden="1">Hoja2!$A$1:$C$52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 i="1" l="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3" i="4"/>
  <c r="G14" i="4"/>
  <c r="G91" i="4"/>
  <c r="G92" i="4"/>
  <c r="G93" i="4"/>
  <c r="G30" i="4"/>
  <c r="G31" i="4"/>
  <c r="G44" i="4"/>
  <c r="G45" i="4"/>
  <c r="G46" i="4"/>
  <c r="G35" i="4"/>
  <c r="G36" i="4"/>
  <c r="G37" i="4"/>
  <c r="G94" i="4"/>
  <c r="G95" i="4"/>
  <c r="G96" i="4"/>
  <c r="G69" i="4"/>
  <c r="G70" i="4"/>
  <c r="G71" i="4"/>
  <c r="G72" i="4"/>
  <c r="G84" i="4"/>
  <c r="G85" i="4"/>
  <c r="G86" i="4"/>
  <c r="G62" i="4"/>
  <c r="G63" i="4"/>
  <c r="G64" i="4"/>
  <c r="G38" i="4"/>
  <c r="G39" i="4"/>
  <c r="G40" i="4"/>
  <c r="G15" i="4"/>
  <c r="G16" i="4"/>
  <c r="G17" i="4"/>
  <c r="G26" i="4"/>
  <c r="G27" i="4"/>
  <c r="G28" i="4"/>
  <c r="G29" i="4"/>
  <c r="G41" i="4"/>
  <c r="G42" i="4"/>
  <c r="G43" i="4"/>
  <c r="G47" i="4"/>
  <c r="G48" i="4"/>
  <c r="G49" i="4"/>
  <c r="G50" i="4"/>
  <c r="G97" i="4"/>
  <c r="G98" i="4"/>
  <c r="G99" i="4"/>
  <c r="G51" i="4"/>
  <c r="G52" i="4"/>
  <c r="G53" i="4"/>
  <c r="G54" i="4"/>
  <c r="G55" i="4"/>
  <c r="G56" i="4"/>
  <c r="G57" i="4"/>
  <c r="G65" i="4"/>
  <c r="G66" i="4"/>
  <c r="G67" i="4"/>
  <c r="G68" i="4"/>
  <c r="G24" i="4"/>
  <c r="G25" i="4"/>
  <c r="G32" i="4"/>
  <c r="G33" i="4"/>
  <c r="G34" i="4"/>
  <c r="G73" i="4"/>
  <c r="G74" i="4"/>
  <c r="G75" i="4"/>
  <c r="G76" i="4"/>
  <c r="G77" i="4"/>
  <c r="G78" i="4"/>
  <c r="G79" i="4"/>
  <c r="G58" i="4"/>
  <c r="G59" i="4"/>
  <c r="G60" i="4"/>
  <c r="G61" i="4"/>
  <c r="G87" i="4"/>
  <c r="G88" i="4"/>
  <c r="G89" i="4"/>
  <c r="G90" i="4"/>
  <c r="G21" i="4"/>
  <c r="G22" i="4"/>
  <c r="G23" i="4"/>
  <c r="G18" i="4"/>
  <c r="G19" i="4"/>
  <c r="G20" i="4"/>
  <c r="G80" i="4"/>
  <c r="G81" i="4"/>
  <c r="G82" i="4"/>
  <c r="G83" i="4"/>
  <c r="G2" i="4"/>
  <c r="G3" i="4"/>
  <c r="G4" i="4"/>
  <c r="G9" i="4"/>
  <c r="G10" i="4"/>
  <c r="G11" i="4"/>
  <c r="G5" i="4"/>
  <c r="G6" i="4"/>
  <c r="G7" i="4"/>
  <c r="G8" i="4"/>
  <c r="G12" i="4"/>
</calcChain>
</file>

<file path=xl/sharedStrings.xml><?xml version="1.0" encoding="utf-8"?>
<sst xmlns="http://schemas.openxmlformats.org/spreadsheetml/2006/main" count="1244" uniqueCount="403">
  <si>
    <t>Descriptor</t>
  </si>
  <si>
    <t>Código</t>
  </si>
  <si>
    <t>Unidad de aprendizaje</t>
  </si>
  <si>
    <t>Aprendizaje(s) esperado(s)</t>
  </si>
  <si>
    <t>AMO</t>
  </si>
  <si>
    <t>Actividad mínima obligatoria / indicación</t>
  </si>
  <si>
    <t>Gestión de la Producción Agrícola</t>
  </si>
  <si>
    <t>AGA552</t>
  </si>
  <si>
    <t>1. Manejos técnicos y estados fenológicos</t>
  </si>
  <si>
    <t>1.1 Relaciona los procesos fisiológicos con los estados fenológicos de los cultivos, para fundamentar decisiones de manejo técnico orientadas a mejorar el rendimiento, considerando condiciones agroclimáticas específicas.</t>
  </si>
  <si>
    <t>Sí</t>
  </si>
  <si>
    <t>Visita a predio (6 h aprox.): análisis de estados vegetativos, manejos productivos, procesos fisiológicos, estados fenológicos y condiciones agroclimáticas; investigación previa con fuentes oficiales y apoyo guiado de IAGen.</t>
  </si>
  <si>
    <t>2. Producción de semillas y requerimientos agroindustriales</t>
  </si>
  <si>
    <t>2.1 Integra tecnología productiva en función de los requerimientos específicos de los cultivos, para optimizar el rendimiento y cumplir con estándares de calidad, considerando las demandas de los mercados de semillas y la agroindustria.</t>
  </si>
  <si>
    <t>Visita a industria de producción agrícola, semillero o unidad productiva (6 h aprox.): relacionar manejos técnicos con requisitos de calidad, procesamiento, normativa y destino productivo.</t>
  </si>
  <si>
    <t>3. Diversificación de cultivos y rotación productiva</t>
  </si>
  <si>
    <t>3.1 Desarrolla planes de manejo de cultivos, para optimizar el rendimiento y la calidad de la producción, considerando la eficiencia productiva del predio, las condiciones edafoclimáticas, la demanda de mercado y el uso sustentable de los recursos.</t>
  </si>
  <si>
    <t>Planificación predial (4 h aprox.): informe grupal con cultivos pertinentes al territorio, eficiencia productiva, rotación, conservación de suelo, demanda de mercado y proyección del plan.</t>
  </si>
  <si>
    <t>Agricultura Sustentable</t>
  </si>
  <si>
    <t>ASAS03</t>
  </si>
  <si>
    <t>1. Desarrollo sostenible y agricultura</t>
  </si>
  <si>
    <t>1.1 Fundamenta las bases del desarrollo productivo de manera sustentable, a partir de enfoques y métodos creativos relacionados a las dimensiones que se vinculan a la mantención del equilibrio del medio.
1.2 Argumenta las razones del desarrollo de alternativas productivas agropecuarias sustentables, a partir del impacto ambiental que deriva de la agricultura tradicional.</t>
  </si>
  <si>
    <t>Presentación grupal e informe sobre desarrollo sostenible y pilares de sustentabilidad; foro sobre agricultura tradicional versus sustentable; salida a terreno sobre agricultura sustentable en Chile.</t>
  </si>
  <si>
    <t>2. Agricultura sustentable</t>
  </si>
  <si>
    <t>2.1 Evalúa las interacciones de los distintos componentes bióticos y abióticos que forman parte de la integración y sinergia de los agroecosistemas, utilizando enfoques y métodos creativos relativos a los principios agroecológicos.
2.2 Fundamenta los principios del manejo sustentable de recursos de agroecosistemas, conforme a las interacciones y características productivas de las explotaciones agropecuarias.</t>
  </si>
  <si>
    <t>Demostración didáctica grupal sobre elementos del medio ambiente, conceptos agroecológicos, dinámica de comunidades y poblaciones e interacciones con el medio.</t>
  </si>
  <si>
    <t>3. Sustentabilidad en la empresa</t>
  </si>
  <si>
    <t>3.1 Planifica la implementación de medidas y estrategias relacionadas a la gestión de cambio hacia un sistema productivo sustentable, utilizando enfoques y métodos creativos, relacionados con las características de la empresa y su entorno.
3.2 Fundamenta la relevancia de los marcos políticos e institucionales con los que deben contar las empresas, conforme a los beneficios que entregan al desarrollo de un sistema productivo sustentable.</t>
  </si>
  <si>
    <t>Caso grupal para categorizar problemas ambientales y plantear una metodología de cambio hacia la sostenibilidad; análisis de un problema o suceso real en sustentabilidad.</t>
  </si>
  <si>
    <t>Cultivos Intensivos y Sistemas Hidropónicos</t>
  </si>
  <si>
    <t>AGD404</t>
  </si>
  <si>
    <t>1. Sistemas hidropónicos</t>
  </si>
  <si>
    <t>1.1 Implementa un sistema de cultivo hidropónico, para especies vegetales, de alta eficiencia de acuerdo con los requerimientos ambientales y nutricionales, considerando el trabajo colaborativo y comunicación.</t>
  </si>
  <si>
    <t>Actividad 1 (6 h): identificación de componentes y funcionamiento, trasplante de almácigos y puesta en marcha del sistema. Actividad 2 (6 h): preparación y ajuste de solución nutritiva, evaluación del cultivo y parámetros del sistema.</t>
  </si>
  <si>
    <t>2. Producción de cultivos controlados</t>
  </si>
  <si>
    <t>2.1 Aplica técnicas de control ambiental, para especies vegetales, de acuerdo con los requerimientos climáticos y fisiológicos de los cultivos, considerando resolución de problemas, innovación y emprendimiento.</t>
  </si>
  <si>
    <t>Actividad 1 (3 h): identificación del control climático y montaje de ensayo comparativo entre ambiente controlado y aire libre. Actividad 2 (3 h): evaluación y cuantificación del crecimiento y comparación de resultados.</t>
  </si>
  <si>
    <t>Desarrollo Mercado Exportador</t>
  </si>
  <si>
    <t>AGE504</t>
  </si>
  <si>
    <t>1. Evaluación de mercados potenciales exportables</t>
  </si>
  <si>
    <t>1.1 Analiza el mercado exportador, para introducir un producto o servicio agrícola y/o agroindustrial utilizando enfoques creativos en el desarrollo de la profesión.</t>
  </si>
  <si>
    <t>Investigación de mercados potenciales (3 h) y análisis de necesidades del mercado (3 h), ventajas competitivas y comparativas de productos chilenos.</t>
  </si>
  <si>
    <t>2. Desarrollo de estrategias exportadora</t>
  </si>
  <si>
    <t>2.1 Crea el flujo de producto por clientes, de origen agropecuario, para encontrar una estrategia básica viable, equilibrada económicamente, de acuerdo al modelo de libre mercado desde una perspectiva ética y ciudadana.</t>
  </si>
  <si>
    <t>Determinación de mercado potencial y canales (3 h) y generación de estrategia de negocio (3 h), considerando costos, mercado meta y planes tácticos/operativos.</t>
  </si>
  <si>
    <t>3. Implementación de plan estratégico</t>
  </si>
  <si>
    <t>3.1 Recomienda los procesos de una exportación, mediante el uso de TIC para dar soluciones creativas y eficientes a los desafíos relacionados con el proceso exportador de productos de origen agropecuario.</t>
  </si>
  <si>
    <t>Recolección y completación de documentos de exportación (3 h) y elaboración de flujograma del proceso exportador (3 h), identificando problemas y soluciones.</t>
  </si>
  <si>
    <t>Diseño de Planes de Producción Agrícola</t>
  </si>
  <si>
    <t>AGD409</t>
  </si>
  <si>
    <t>1. Factores técnicos y ambientales en la producción agrícola</t>
  </si>
  <si>
    <t>1.1 Analiza los principales factores ambientales y técnicos que influyen en la producción agrícola, para el desarrollo de un plan de producción agrícola, considerando criterios de sostenibilidad y normativas, desde la perspectiva de la ética y la ciudadanía.</t>
  </si>
  <si>
    <t>Factores Ambientales (9 h aprox.): investigación bibliográfica grupal sobre factores ambientales sustentables y sostenibles de un sistema de producción agrícola.</t>
  </si>
  <si>
    <t>2. Formulación de planes de producción en sistemas agrícolas</t>
  </si>
  <si>
    <t>2.1 Define los componentes de un plan de producción agrícola, para integrar requerimientos técnicos, dinámicas de manejo y potencial productivo, en función del análisis comparativo de sistemas de producción y en un marco de trabajo colaborativo.</t>
  </si>
  <si>
    <t>Elaboración de ficha técnica (9 h aprox.) para cultivos: dosis y costos de agroquímicos, semillas/plantas, preparación de suelo, mano de obra, maquinaria y otros antecedentes.</t>
  </si>
  <si>
    <t>3. Diseño de un plan de producción agrícola</t>
  </si>
  <si>
    <t>3.1 Diseña un plan de producción agrícola, para potenciar el monitoreo de procesos y la toma de decisiones, considerando aspectos éticos, técnicos, organizacionales, económicos y de comercialización.</t>
  </si>
  <si>
    <t>A definir por docente</t>
  </si>
  <si>
    <t>El descriptor indica: actividad presencial queda a determinación del docente en aula.</t>
  </si>
  <si>
    <t>Formulación y Evaluación de Proyectos</t>
  </si>
  <si>
    <t>COFE04</t>
  </si>
  <si>
    <t>1. Descripción, proyección del mercado, tamaño y localización de un proyecto agropecuario</t>
  </si>
  <si>
    <t>1.1 Evalúa el proceso de preparación y evaluación de proyectos en el ámbito agropecuario, en forma escrita y oral, de acuerdo a parámetros de formulación privada y social de proyectos en el ámbito de su profesión.
1.2 Selecciona las técnicas de proyección del mercado, en relación a la formulación de proyectos agropecuarios.
1.3 Diseña el tamaño de un proyecto de acuerdo al mercado agropecuario, considerando un plan estratégico comercial.
1.4 Selecciona la localización de un proyecto, de acuerdo al mercado agropecuario.</t>
  </si>
  <si>
    <t>Discusión de lecturas sobre preparación/evaluación de proyectos; análisis de casos para identificar viabilidad; planificación de proyecto en duplas o grupos usando Microsoft Project o similar.</t>
  </si>
  <si>
    <t>2. Formulación y preparación de proyectos agropecuarios</t>
  </si>
  <si>
    <t>2.1 Planifica técnicas para formular proyectos de preinversión a partir de sus diversas etapas, acorde a situaciones e interlocutores en el quehacer de su profesión.
2.2 Genera flujos de caja desde la perspectiva del proyecto, del inversionista y del banco.</t>
  </si>
  <si>
    <t>Desarrollo grupal de proyecto: investigación de mercado, mix comercial, proyección de demanda, localización/tamaño, tipo de sociedad, estructura organizacional, recursos, inversión y ejercicios de flujo.</t>
  </si>
  <si>
    <t>3. Evaluación de proyectos agropecuarios</t>
  </si>
  <si>
    <t>3.1 Evalúa la rentabilidad de un proyecto basado en criterios de evaluación financiera y considerando necesidades o desafíos planteados.
3.2 Evalúa proyectos en base a técnicas de análisis de sensibilidad, a partir del análisis de riesgo.</t>
  </si>
  <si>
    <t>Análisis de formulación/prefactibilidad; ejercicios de flujos netos y sensibilidad uni/multivariable; cálculo de rentabilidad y defensa del proyecto semestral.</t>
  </si>
  <si>
    <t>Fruticultura</t>
  </si>
  <si>
    <t>AGO432</t>
  </si>
  <si>
    <t>1. Introducción a la Fruticultura</t>
  </si>
  <si>
    <t>1.1 Analiza especies frutales para comprender sus características y contribuir a la mejora de sistemas productivos, en base a los estándares y exigencias de la industria.</t>
  </si>
  <si>
    <t>Visita a huerto frutal (5 h aprox.) para registrar estructuras vegetativas/fructíferas, riego, instrumentos meteorológicos, suelo y otros componentes.</t>
  </si>
  <si>
    <t>2. Propagación y establecimiento de un huerto frutal</t>
  </si>
  <si>
    <t>2.1 Aplica técnicas de plantación de huertos frutales para maximizar la eficiencia y sostenibilidad de la producción, a partir de los objetivos del sector productivo y la normativa vigente.</t>
  </si>
  <si>
    <t>Taller de reproducción vegetal (5 h aprox.): estacas leñosas/semileñosas e injertos, con informe tipo reportaje técnico.</t>
  </si>
  <si>
    <t>3. Manejo del huerto frutal</t>
  </si>
  <si>
    <t>3.1 Diseña estrategias de mejora de los manejos de poda y raleo, para optimizar la productividad y la proyección de cosecha, en base a la normativa vigente.</t>
  </si>
  <si>
    <t>Taller de poda (5 h aprox.) en parcela demostrativa o visita externa, con poda de formación o producción.</t>
  </si>
  <si>
    <t>4. Manejos específicos productivos en las principales especies frutales</t>
  </si>
  <si>
    <t>4.1 Establece planes de manejo específicos en especies frutales caducos y perennes, para optimizar el potencial productivo y proponer soluciones tentativas a problemáticas, según estándares técnicos y criterios de factibilidad establecidos por la industria.</t>
  </si>
  <si>
    <t>Inspección de fruta (5 h aprox.) en huerto para establecer calidad y condición, identificar problemáticas y proponer soluciones.</t>
  </si>
  <si>
    <t>Fruticultura Aplicada</t>
  </si>
  <si>
    <t>AGO551</t>
  </si>
  <si>
    <t>1. Introducción a las especies frutales en Chile y el mundo</t>
  </si>
  <si>
    <t>1.1 Analiza especies tradicionales, no tradicionales y frutales menores y su contexto nacional y global, para maximizar la productividad del huerto, según los estándares de la industria.</t>
  </si>
  <si>
    <t>Taller de inspección de fruta (4 h aprox.) para establecer calidad y condición según estándares o normas de la industria.</t>
  </si>
  <si>
    <t>2. Características y manejos técnicos de especies tradicionales, no tradicionales y frutales menores en Chile</t>
  </si>
  <si>
    <t>2.1 Diseña estrategias específicas de manejo de huerto de especies tradicionales, no tradicionales y frutales menores (caducifolias, menores o persistentes), para elaborar soluciones tentativas a las problemáticas y controlar las variables internas y externas, según normativa vigente, exigencias del mercado y criterios de factibilidad.</t>
  </si>
  <si>
    <t>Visita técnica a huerto (6 h aprox.) para documentar planes fitosanitarios, nutricionales, riego, poda, raleo o cosecha y proponer mejoras.</t>
  </si>
  <si>
    <t>3. Importancia estratégica de especies tradicionales, no tradicionales y frutales menores en Chile</t>
  </si>
  <si>
    <t>3.1 Desarrolla planes de mejora a los manejos del huerto frutal de especies tradicionales, no tradicionales y frutales menores, para mejorar la productividad, en base a la innovación y uso de tecnología de vanguardia.</t>
  </si>
  <si>
    <t>Laboratorio de plagas y enfermedades de frutales (4 h aprox.): observación, identificación de estados de desarrollo y propuesta de estrategia tecnológica de control sustentable.</t>
  </si>
  <si>
    <t>Fundamentos de Plagas, Enfermedades y Malezas</t>
  </si>
  <si>
    <t>AGO312</t>
  </si>
  <si>
    <t>1. Plagas de importancia agrícola</t>
  </si>
  <si>
    <t>1.1 Describe las principales plagas agrícolas, para determinar técnicas de identificación, de acuerdo con su morfología, ciclos biológicos y daños.</t>
  </si>
  <si>
    <t>Laboratorio de identificación de plagas (3 h aprox.) con insectos, arácnidos y daños, lupas estereoscópicas y microscopios.</t>
  </si>
  <si>
    <t>2. Enfermedades de importancia agrícola</t>
  </si>
  <si>
    <t>2.1 Diferencia los principales patógenos y enfermedades agrícolas para determinar técnicas de monitoreo e identificación, de acuerdo con su morfología, ciclo biológico, síntomas y signos.</t>
  </si>
  <si>
    <t>Laboratorio de identificación de patógenos (3 h aprox.) con muestras, lupas y microscopios.</t>
  </si>
  <si>
    <t>3. Malezas de importancia agrícola</t>
  </si>
  <si>
    <t>3.1 Distingue las principales malezas agrícolas para determinar técnicas de monitoreo e identificación, según su morfología, ciclo y daños en función de criterios fundamentados y consecuentes de elección.</t>
  </si>
  <si>
    <t>Laboratorio de identificación de malezas (3 h aprox.) con muestras y lupas estereoscópicas.</t>
  </si>
  <si>
    <t>Gestión de Calidad Agrícola</t>
  </si>
  <si>
    <t>AGE441</t>
  </si>
  <si>
    <t>1. Conceptos, procesos y marco normativo de la gestión de calidad</t>
  </si>
  <si>
    <t>1.1 Analiza conceptos, procesos y el marco normativo de la gestión de calidad agrícola, para garantizar la calidad de los procesos y productos, considerando distintos rubros de la agroindustria.</t>
  </si>
  <si>
    <t>2. Sistemas, modelos de gestión de aseguramiento de calidad, certificación y normativa específica</t>
  </si>
  <si>
    <t>2.1 Diseña sistemas de aseguramiento de la calidad, con el fin de garantizar la inocuidad alimentaria y el bienestar personal, de los demás y ambiental, considerando normas, procedimientos y protocolos establecidos.</t>
  </si>
  <si>
    <t>Identificación de puntos críticos (2 h aprox.) mediante análisis de un caso de proceso agroindustrial.</t>
  </si>
  <si>
    <t>3. Técnicas, instrumentos y herramientas de gestión en procesos de certificación</t>
  </si>
  <si>
    <t>3.1 Establece los requisitos de certificación de Buenas Prácticas Agrícolas (BPA) en Chile, con el fin de asegurar el bienestar personal, de los demás y ambiental y la conformidad de los estándares de calidad y seguridad alimentaria, en base a la normativa ChileGap, BRC y HACCP.</t>
  </si>
  <si>
    <t>Plan de certificación (3 h aprox.): diseño de un proceso de certificación de un plan de inocuidad HACCP en distintos rubros agroindustriales.</t>
  </si>
  <si>
    <t>Prevención y Control de Plagas, Enfermedades y Malezas</t>
  </si>
  <si>
    <t>AGB121</t>
  </si>
  <si>
    <t>1. Manejo integrado de plagas, enfermedades y malezas</t>
  </si>
  <si>
    <t>1.1 Analiza los fundamentos técnicos, biológicos y ecológicos del manejo integrado de plagas, enfermedades y malezas para establecer estrategias de prevención y control, según su importancia económica.</t>
  </si>
  <si>
    <t>Taller Software AgroSMART (2 h aprox.) para analizar costos de estrategias químicas, biológicas y mecánicas.</t>
  </si>
  <si>
    <t>2. Manejo y uso de plaguicidas agrícolas</t>
  </si>
  <si>
    <t>2.1 Realiza labores de manejo y uso de plaguicidas agrícolas, para cumplir con las normativas legales, procedimientos y protocolos establecidos, considerando las condiciones prediales, el autocuidado, el cuidado de otros y el cuidado del medio ambiente local y global.</t>
  </si>
  <si>
    <t>Calibración de equipo pulverizador (6 h aprox.) y taller de dosificación/preparación de mezclas (2 h aprox.).</t>
  </si>
  <si>
    <t>3. Buenas prácticas agrícolas en manejo de plagas, enfermedades y malezas</t>
  </si>
  <si>
    <t>3.1 Aplica buenas prácticas agrícolas en el manejo de plagas, enfermedades y malezas, para cumplir con los estándares de producción y seguridad de los mercados de comercialización, considerando las condiciones prediales.</t>
  </si>
  <si>
    <t>El descriptor indica: actividad presencial queda a disposición del docente en aula.</t>
  </si>
  <si>
    <t>Gestión de Labores Agrícolas</t>
  </si>
  <si>
    <t>AGD331</t>
  </si>
  <si>
    <t>1. Organización de labores agrícolas</t>
  </si>
  <si>
    <t>1.1 Organiza labores agrícolas para optimizar los recursos y maximizar el rendimiento, de acuerdo con los requerimientos de la explotación agrícola y resguardando el cumplimiento de los plazos y calidad establecidos.</t>
  </si>
  <si>
    <t>Definida por área</t>
  </si>
  <si>
    <t>Remítase al diseño instruccional centralizado elaborado por el área académica.</t>
  </si>
  <si>
    <t>2. Coordinación de labores agrícolas</t>
  </si>
  <si>
    <t>2.1 Coordina las actividades del personal agrícola para que se realicen de manera oportuna y eficientes de acuerdo con procedimientos de trabajo y normativa vigente.</t>
  </si>
  <si>
    <t>3. Control de labores agrícolas</t>
  </si>
  <si>
    <t>3.1 Controla las actividades del personal para asegurar la calidad de las labores agrícolas, considerando los procedimientos de trabajo, normativa vigente y sustentabilidad de la explotación agrícola.</t>
  </si>
  <si>
    <t>4. Unidad integradora para evaluar la competencia</t>
  </si>
  <si>
    <t>4.1 Supervisa la ejecución de labores agrícolas aplicando control fitosanitario, implementación y operación de sistemas de riego y fertirriego, así como técnicas de propagación vegetal, para establecer cultivos y asegurar prácticas sostenibles, cumpliendo con los procedimientos de trabajo, estándares de seguridad laboral y regulaciones vigentes.</t>
  </si>
  <si>
    <t>Gestión de Riesgos Climáticos</t>
  </si>
  <si>
    <t>AGE502</t>
  </si>
  <si>
    <t>1. Variables climáticas</t>
  </si>
  <si>
    <t>1.1 Evalúa las variables climáticas y fuentes de información para generar las estrategias de manejo que optimicen los recursos productivos agroindustriales, de acuerdo a procedimientos de trabajo.</t>
  </si>
  <si>
    <t>Estudio de casos y análisis de datos climáticos (6 h): uso de fuentes nacionales/internacionales, datos históricos y estaciones meteorológicas.</t>
  </si>
  <si>
    <t>2. Riesgos y oportunidades climáticas</t>
  </si>
  <si>
    <t>2.1 Evalúa los riesgos y oportunidades climáticos que propician la toma de decisiones empresariales de acuerdo a la resolución de problemas, innovación y emprendimiento.</t>
  </si>
  <si>
    <t>Evaluación de riesgos climáticos (6 h): análisis de una unidad productiva hortofrutícola y propuesta de medidas de mitigación.</t>
  </si>
  <si>
    <t>3. Estrategias de gestión de riesgos climáticos</t>
  </si>
  <si>
    <t>3.1 Desarrolla las estrategias de gestión de riesgos climáticos para el manejo eficiente de la producción agrícola de acuerdo con los lineamientos de la empresa cumpliendo con estándares de ética y ciudadanía.</t>
  </si>
  <si>
    <t>Gestión de riesgos y variabilidad climática (6 h): análisis de pronósticos y fuentes climáticas y elaboración de estrategia de gestión.</t>
  </si>
  <si>
    <t>Gestión del Proceso de Producción Agrícola</t>
  </si>
  <si>
    <t>AGE505</t>
  </si>
  <si>
    <t>1. Diagnóstico del funcionamiento de la empresa agrícola</t>
  </si>
  <si>
    <t>1.1 Analiza datos históricos del sistema productivo para identificar interacciones entre las distintas áreas de la empresa agrícola, considerando normativa y legislación vigente, el trabajo colaborativo y comunicación.</t>
  </si>
  <si>
    <t>Actividad presencial y online: remítase al diseño instruccional elaborado por el área.</t>
  </si>
  <si>
    <t>2. Estrategias de gestión para mejorar desempeño de la empresa</t>
  </si>
  <si>
    <t>2.1 Evalúa estrategias de gestión de riesgo para mejorar el desempeño, la sustentabilidad y rentabilidad del sistema productivo de la empresa agrícola, considerando la resolución de problemas, innovación y emprendimiento, el trabajo colaborativo y comunicación.</t>
  </si>
  <si>
    <t>3. Seguimiento del proceso productivo</t>
  </si>
  <si>
    <t>3.1 Recomienda un plan de seguimiento para la mejora continua del sistema productivo considerando registros, hitos, objetivos de la empresa, el trabajo colaborativo y comunicación.</t>
  </si>
  <si>
    <t>4. Unidad integradora de la competencia de egreso</t>
  </si>
  <si>
    <t>4.1 Integra la gestión del proceso productivo con el uso de tecnologías de agricultura de precisión y la ocurrencia de eventos climáticos adversos, para mejorar el desempeño, la sustentabilidad y rentabilidad de la empresa agrícola, considerando la resolución de problemas, innovación y emprendimiento, el trabajo colaborativo y comunicación.</t>
  </si>
  <si>
    <t>Gestión para la Certificación</t>
  </si>
  <si>
    <t>PAGC24</t>
  </si>
  <si>
    <t>1. Requerimiento e implementación de un sistema normativo del mercado de alimentos</t>
  </si>
  <si>
    <t>1.1 Analiza los fundamentos y requisitos de calidad e inocuidad de los alimentos de acuerdo a las exigencias de los mercados en la industria alimentaria. (Integrada Competencia genérica Ética Profesional).</t>
  </si>
  <si>
    <t>Investigación bibliográfica grupal para identificar requisitos de mercado de la industria alimentaria.</t>
  </si>
  <si>
    <t>2. Sistemas normativos en la industria de alimentos</t>
  </si>
  <si>
    <t>2.1 Analiza la documentación y exigencias de un sistema normativo aplicado en empresas de producción primaria y/o de elaboración de alimentos y subproductos. (Integrada Competencia genérica Comunicación oral y escrita).</t>
  </si>
  <si>
    <t>Taller de sistemas normativos; diseño de métodos/procedimientos de gestión de calidad; visita a empresa agroindustrial con sistema de gestión de calidad e informe.</t>
  </si>
  <si>
    <t>3. Proceso de auditoría en empresas agropecuarias</t>
  </si>
  <si>
    <t>3.1 Analiza el proceso de auditoría dentro de la empresa, de acuerdo a la normativa vigente. (Integrada Competencia genérica Compromiso).</t>
  </si>
  <si>
    <t>Taller de auditorías de calidad y taller de roles auditor/auditado a partir de una situación dada.</t>
  </si>
  <si>
    <t>Infraestructura Agroindustrial</t>
  </si>
  <si>
    <t>AGE506</t>
  </si>
  <si>
    <t>1. Requerimientos de infraestructura</t>
  </si>
  <si>
    <t>1.1 Planifica los requerimientos de infraestructura, para la habilitación de construcciones, considerando la realidad predial, desde la perspectiva del trabajo colaborativo y comunicación.</t>
  </si>
  <si>
    <t>Remítase al diseño instruccional elaborado por el Área Académica.</t>
  </si>
  <si>
    <t>2. Construcción de infraestructura</t>
  </si>
  <si>
    <t>2.1 Recomienda la construcción de infraestructura, para satisfacer las necesidades productivas, considerando la realidad predial.</t>
  </si>
  <si>
    <t>3. Gestión de infraestructura</t>
  </si>
  <si>
    <t>3.1 Gestiona la infraestructura agroindustrial, para cumplir con las necesidades productivas, considerando la realidad predial y normativa vigente, desde la perspectiva de la ética y ciudadanía.</t>
  </si>
  <si>
    <t>4.1 Desarrolla prácticas de construcción, para un sistema agroindustrial, según el plan comercial nacional y de exportación, plan de gestión de calidad, normativa vigente y contexto de infraestructura agroindustrial.</t>
  </si>
  <si>
    <t>Interpretación y Uso de Datos en Agricultura de Precisión</t>
  </si>
  <si>
    <t>AGG403</t>
  </si>
  <si>
    <t>1. Selección y utilización de tecnología agrícola</t>
  </si>
  <si>
    <t>1.1 Evalúa tecnologías de precisión para el manejo eficiente de la explotación agrícola, según la accesibilidad de recursos tecnológicos y costos asociados, considerando el trabajo colaborativo y comunicación.</t>
  </si>
  <si>
    <t>Imágenes satelitales (4 h aprox.) y muestreo en terreno (6 h aprox.) con sensores/equipos georreferenciados y correlación con información satelital.</t>
  </si>
  <si>
    <t>2. Interpretación espacial de datos</t>
  </si>
  <si>
    <t>2.1 Analiza datos existentes de la explotación agrícola para su digitalización, de acuerdo a procedimientos del uso de sistemas de información geográfica disponible, considerando resolución de problemas, innovación y emprendimiento.</t>
  </si>
  <si>
    <t>Laboratorio SIG (2 h), planificación de muestreo (6 h) y ejecución de muestreo en terreno (4 h) con planillas, mapas y grillas.</t>
  </si>
  <si>
    <t>3. Uso e integración de datos</t>
  </si>
  <si>
    <t>3.1 Integra datos de la explotación agrícola para generar una prescripción de actividades, considerando mapas de variabilidad generados, la capacidad técnica del agricultor, el impacto ambiental y el aprendizaje continuo.</t>
  </si>
  <si>
    <t>Mapa de prescripción (8 h aprox.) usando SIG y datos reales, con cálculo del impacto en ingresos y costos.</t>
  </si>
  <si>
    <t>Manejo de Suelo y Nutrición Vegetal</t>
  </si>
  <si>
    <t>AGO325</t>
  </si>
  <si>
    <t>1. Naturaleza y propiedades del suelo</t>
  </si>
  <si>
    <t>1.1 Diferencia las propiedades físicas, químicas y biológicas de los distintos suelos del país, para realizar mantenciones y correcciones, considerando el objetivo del sistema agrícola y eficiencia del proceso de producción.</t>
  </si>
  <si>
    <t>2. Manejo del suelo</t>
  </si>
  <si>
    <t>2.1 Analiza los manejos y labores de mejora de suelo para aumentar la productividad del predio, considerando las características de los cultivos y el uso sustentable del recurso.</t>
  </si>
  <si>
    <t>3. Suelo y nutrición vegetal</t>
  </si>
  <si>
    <t>3.1 Propone un programa de nutrición y fertilidad de suelo, para optimizar el rendimiento e implementar soluciones, según las características de la explotación agrícola.</t>
  </si>
  <si>
    <t>4.1 Propone estrategias de producción primaria en sistemas agrícolas para garantizar una producción óptima y sostenible, acorde a las normativas vigentes y las condiciones ambientales y edáficas del entorno.</t>
  </si>
  <si>
    <t>Negocios Agrícolas</t>
  </si>
  <si>
    <t>AGC306</t>
  </si>
  <si>
    <t>1. Registros financieros</t>
  </si>
  <si>
    <t>1.1 Mantiene los registros contables y financieros, para conservar la información actualizada, de acuerdo con los procedimientos de una empresa agrícola, las normas legales vigentes y ética y ciudadanía.</t>
  </si>
  <si>
    <t>Confección de factura (3 h) en laboratorio de computación, cumpliendo legislación vigente y resguardo ético de datos.</t>
  </si>
  <si>
    <t>2. Análisis financiero</t>
  </si>
  <si>
    <t>2.1 Analiza la estrategia financiera para el correcto uso de los recursos de la empresa agrícola, de acuerdo con la información financiera y las necesidades de la empresa, considerando la resolución de problemas innovación y emprendimiento, y trabajo colaborativo y comunicación.</t>
  </si>
  <si>
    <t>Análisis financiero y evaluación de proyecto (3 h) más video tipo Elevator Pitch (1 h) para presentar un proyecto de emprendimiento y solicitar financiamiento.</t>
  </si>
  <si>
    <t>Plan de Marketing de Productos y Servicios</t>
  </si>
  <si>
    <t>AGD405</t>
  </si>
  <si>
    <t>1. Análisis de mercado</t>
  </si>
  <si>
    <t>1.1 Analiza información del mercado para establecer las estrategias de marketing, de acuerdo con las necesidades de la empresa y las condiciones del entorno.</t>
  </si>
  <si>
    <t>Etapa 1: análisis de entorno (4 h) para proyecto de empresa agropecuaria y definición de mercado objetivo.</t>
  </si>
  <si>
    <t>2. Mezcla de marketing</t>
  </si>
  <si>
    <t>2.1 Selecciona la mezcla de marketing para el crecimiento de la organización, considerando el análisis de mercado meta y los recursos de la empresa a través del trabajo colaborativo y comunicación.</t>
  </si>
  <si>
    <t>Etapa 2: Marketing Mix (6 h), considerando análisis de precios agropecuarios (ODEPA).</t>
  </si>
  <si>
    <t>3. Plan de marketing</t>
  </si>
  <si>
    <t>3.1 Prepara plan de marketing para la implementación en la empresa agropecuaria, de acuerdo a los requerimientos de la empresa y entorno.</t>
  </si>
  <si>
    <t>Etapa 3: Plan de Marketing (4 h), integrando las etapas anteriores.</t>
  </si>
  <si>
    <t>Producción de Cultivos Agrícolas</t>
  </si>
  <si>
    <t>AGO433</t>
  </si>
  <si>
    <t>1. Factores ambientales en la producción de cultivos</t>
  </si>
  <si>
    <t>1.1 Analiza los factores ambientales y requerimientos determinantes de la producción de cultivos, para lograr una comprensión exhaustiva del objetivo y sus múltiples dimensiones, obteniendo altos estándares de rendimiento, de acuerdo con las condiciones prediales y comerciales.</t>
  </si>
  <si>
    <t>Análisis del requerimiento y condiciones climáticas (3 h aprox.): informe del área agroecológica y cultivo, comparando requerimientos edafoclimáticos con la comuna asignada.</t>
  </si>
  <si>
    <t>2. Producción de cultivos industriales, cereales, leguminosas y papas</t>
  </si>
  <si>
    <t>2.1 Utiliza técnicas de manejos agronómicos, para el establecimiento del cultivo y la obtención del potencial productivo, considerando las condiciones prediales y época de plantación.</t>
  </si>
  <si>
    <t>Establecimiento de parcelas demostrativas (6 h aprox.) en Parcela Experimental con semillas, fertilizantes y herramientas.</t>
  </si>
  <si>
    <t>3. Manejos agronómicos de cultivos</t>
  </si>
  <si>
    <t>3.1 Define manejos agrícolas del cultivo establecido, para resguardar la productividad esperada, de acuerdo con las condiciones prediales, normativa vigente y la época de siembra.</t>
  </si>
  <si>
    <t>Fertilización y monitoreo de plagas (6 h aprox.), incluyendo plagas, enfermedades, malezas, control y estado fenológico.</t>
  </si>
  <si>
    <t>4. Cosecha de cultivos</t>
  </si>
  <si>
    <t>4.1 Desarrolla estrategias de manejo de cosecha de cultivos, para la obtención de producción de calidad, a partir de las condiciones meteorológicas, tipo de cultivo y los requerimientos comerciales.</t>
  </si>
  <si>
    <t>Producción de Hortalizas</t>
  </si>
  <si>
    <t>AGO446</t>
  </si>
  <si>
    <t>1. Aspectos generales de cultivos de hortalizas</t>
  </si>
  <si>
    <t>1.1 Distingue las características productivas y morfológicas de hortalizas, para clasificarlas según sus requerimientos edafoclimáticos, órganos de consumo, familias taxonómicas y propagación, de acuerdo con la realidad regional, tipos de producción y destino de comercialización.</t>
  </si>
  <si>
    <t>Establecimiento de hortalizas (6 h aprox.) en Parcela Experimental: preparación de suelo, desmalezado y fertilización de fondo.</t>
  </si>
  <si>
    <t>2. Técnicas de producción de hortalizas</t>
  </si>
  <si>
    <t>2.1 Diferencia las técnicas y manejos de producción de hortalizas, para la obtención de altos estándares de rendimiento, de acuerdo con la realidad regional, destino de comercialización y el análisis crítico de los requerimientos productivos.</t>
  </si>
  <si>
    <t>Manejos agronómicos de hortalizas (6 h aprox.) en los cultivos establecidos en Parcela Experimental.</t>
  </si>
  <si>
    <t>3. Cosecha y postcosecha de hortalizas</t>
  </si>
  <si>
    <t>3.1 Selecciona técnicas de cosecha y postcosecha de hortalizas, para prolongar la vida útil y calidad de las materias primas, considerando aspectos fisiológicos y destino de la producción.</t>
  </si>
  <si>
    <t>Cosecha de hortalizas (6 h aprox.) y labores de postcosecha de los cultivos establecidos en Parcela Experimental.</t>
  </si>
  <si>
    <t>Proyecto de Título Profesional</t>
  </si>
  <si>
    <t>AGI002</t>
  </si>
  <si>
    <t>1. Diagnóstico de oportunidades de mejora</t>
  </si>
  <si>
    <t>1.1 Diagnostica problemas productivos y oportunidades de mejora en sistemas agropecuarios para aumentar la eficiencia en el uso de los recursos prediales, considerando el uso de tecnologías avanzadas, recolección de datos, análisis de la información y el cumplimiento de las normativas vigentes, desde la perspectiva de la ética y ciudadanía.</t>
  </si>
  <si>
    <t>2. Diseño del proyecto de mejora</t>
  </si>
  <si>
    <t>2.1 Diseña un proyecto agrícola de mejora con el fin de aumentar la productividad, minimizar los efectos del cambio climático y mejorar la rentabilidad de la empresa agropecuaria, mediante el uso de tecnologías, el análisis de los impactos técnicos y productivos que cumplan con las normativas legales y certificaciones de calidad vigentes, con énfasis en la resolución de problemas, innovación y emprendimiento.</t>
  </si>
  <si>
    <t>3. Desarrollo del proyecto de mejora</t>
  </si>
  <si>
    <t>3.1 Desarrolla la propuesta del proyecto de mejora o innovación agrícola para optimizar la eficiencia productiva y asegurar la sustentabilidad a largo plazo, utilizando tecnologías, considerando equipos multidisciplinarios y garantizando el cumplimiento de normativas de seguridad, calidad y medio ambiente, con énfasis en el trabajo colaborativo y comunicación.</t>
  </si>
  <si>
    <t>4. Comunicación del proyecto de mejora</t>
  </si>
  <si>
    <t>4.1 Comunica la propuesta de mejora o innovación agrícola para dar a conocer su viabilidad técnica y económica, considerando el uso de herramientas de comunicación efectiva, los datos de respaldo, las normativas vigentes y la producción sostenible con énfasis en el aprendizaje continuo.</t>
  </si>
  <si>
    <t>Proyecto Integrado</t>
  </si>
  <si>
    <t>AGP441</t>
  </si>
  <si>
    <t>1. Diagnóstico de la realidad productiva de una explotación agrícola</t>
  </si>
  <si>
    <t>1.1 Diagnostica la realidad productiva de una explotación agrícola para identificar los componentes del agroecosistema, considerando indicadores de sostenibilidad, estándares de calidad, herramientas de medición predial y administrativa desde la perspectiva de la ética y ciudadana.</t>
  </si>
  <si>
    <t>2. Diseño de mejoras de la producción agrícola</t>
  </si>
  <si>
    <t>2.1 Diseña mejoras de la explotación agrícola, para incorporar manejos agronómicos sostenibles y amigables con el medio ambiente, enfocados en un sistema integrado de producción, con énfasis en la resolución de problemas, innovación y emprendimiento.</t>
  </si>
  <si>
    <t>3. Elaboración de propuesta de mejora orientada a la sostenibilidad</t>
  </si>
  <si>
    <t>3.1 Elabora propuesta de mejora para optimizar la producción agrícola, en base a los objetivos productivos, con prácticas agronómicas sustentables que aporten a minimizar los efectos adversos del cambio climático, con énfasis en el trabajo colaborativo y comunicación.</t>
  </si>
  <si>
    <t>4. Comunicación del plan de mejora</t>
  </si>
  <si>
    <t>4.1 Comunica el plan de mejora diseñado para implementar prácticas de manejo sustentable en el sistema productivo de la explotación agrícola, con énfasis en el aprendizaje continuo.</t>
  </si>
  <si>
    <t>Sistemas de Riego</t>
  </si>
  <si>
    <t>AGC221</t>
  </si>
  <si>
    <t>1. Relación suelo, agua y planta</t>
  </si>
  <si>
    <t>1.1 Emplea instrumentos de medición de variables físico-hídricas del suelo, para la toma de decisiones del requerimiento hídrico, considerando los factores edafológicos y los tipos de especies vegetativas.</t>
  </si>
  <si>
    <t>Identificación del contenido de humedad en el suelo (6 h aprox.) con sensores y comparación con método gravimétrico.</t>
  </si>
  <si>
    <t>2. Instalación de los sistemas de riego presurizado</t>
  </si>
  <si>
    <t>2.1 Aplica técnicas de instalación y mantención de sistemas de riego presurizado y fertirriego, para realizar las actividades de riego en el campo, de acuerdo con las especificaciones técnicas y normas de higiene y seguridad.</t>
  </si>
  <si>
    <t>Instalación del sistema de distribución de riego (6 h aprox.): montaje de set de riego presurizado y fertirriego en Parcela Experimental.</t>
  </si>
  <si>
    <t>3. Operación e inspección de los sistemas de riego</t>
  </si>
  <si>
    <t>3.1 Propone soluciones a problemas de operación para optimizar el recurso hídrico y mejorar el rendimiento de riego presurizado, considerando el método de riego, el cultivo y criterios de factibilidad.</t>
  </si>
  <si>
    <t>Mantención e inspección del sistema de riego (2 h aprox.) en sistema a escala/operación real, identificando funcionalidad, variables y mejoras.</t>
  </si>
  <si>
    <t>Taller de Prácticas Agrícolas Sostenibles</t>
  </si>
  <si>
    <t>AGB122</t>
  </si>
  <si>
    <t>1. Propagación vegetal</t>
  </si>
  <si>
    <t>1.1 Aplica técnicas de propagación de especies vegetales, para establecer colaborativamente sistemas agrícolas, incorporando el uso guiado de IAGen para apoyar la aplicación de métodos de propagación, manejo, sustratos, viveros y almácigos, en base a criterios técnicos y normativa vigente.</t>
  </si>
  <si>
    <t>Planificación de propagación con IAGen (2 h aprox.) y aplicación en terreno (6 h aprox.) mediante almácigos, estacas, preparación de sustratos, siembra y riego.</t>
  </si>
  <si>
    <t>2. Labores de establecimiento de un sistema productivo</t>
  </si>
  <si>
    <t>2.1 Ejecuta labores agrícolas iniciales, para asegurar el establecimiento del cultivo, considerando los distintos manejos productivos, recursos del predio y normativa vigente, incorporando el uso guiado de IAGen como apoyo en la planificación de las labores.</t>
  </si>
  <si>
    <t>Siembra (6 h aprox.): diagnóstico de recursos disponibles, preparación de suelo y siembra de especies vegetales en Parcela Experimental o sistema productivo.</t>
  </si>
  <si>
    <t>3. Labores agrícolas de siembra a cosecha en un sistema productivo</t>
  </si>
  <si>
    <t>3.1 Realiza labores agrícolas para asegurar el desarrollo del cultivo y obtener un producto inocuo y de calidad en sistemas sostenibles, en base a la normativa vigente, incorporando el uso guiado de IAGen como apoyo en el registro, seguimiento y comunicación técnica de las labores realizadas, resguardando la originalidad del autor.</t>
  </si>
  <si>
    <t>Labores culturales, mantención y control del riego en cultivos/hortalizas (6 h aprox.) y labores culturales en frutales (6 h aprox.), incluyendo poda, entutorado, raleo, cosecha o monitoreo según especie.</t>
  </si>
  <si>
    <t>Tecnologías Agrícolas y Post Cosecha</t>
  </si>
  <si>
    <t>AGO447</t>
  </si>
  <si>
    <t>1. Tecnologías aplicadas al sector agrícola</t>
  </si>
  <si>
    <t>1.1 Analiza las tecnologías que optimizan los procesos agrícolas con el fin de mejorar la productividad, eficiencia y sostenibilidad de las actividades en el campo, considerando el impacto ambiental a través de las normativas vigentes.</t>
  </si>
  <si>
    <t>2. Fundamentos de postcosecha</t>
  </si>
  <si>
    <t>2.1 Analiza los fundamentos de postcosecha para maximizar la vida útil y preservar la calidad e inocuidad de los productos hortofrutícolas, considerando su naturaleza y destino, mediante el uso de IAGen para identificar tecnologías, procesar datos y elaborar informes técnicos, validando críticamente los resultados con parámetros oficiales de calidad e inocuidad.</t>
  </si>
  <si>
    <t>3. Conservación y procesamiento de postcosecha</t>
  </si>
  <si>
    <t>3.1 Implementa las operaciones y tecnologías de postcosecha con el fin de realizar el proceso y conservación de productos agrícolas, organizando y planificando en función del logro de objetivos, de acuerdo con las condiciones del producto hortofrutícola y la normativa vigente.</t>
  </si>
  <si>
    <t>4.1 Supervisa las labores agrícolas en cultivos, frutales y hortalizas, para garantizar la calidad, eficiencia y competitividad en la cadena de producción agrícola, conforme a estándares y protocolos de aseguramiento de calidad e inocuidad alimentaria y normativa vigente, participando en la implementación de procesos de producción que integren tecnologías agrícolas y de post cosecha.</t>
  </si>
  <si>
    <t>Tecnologías de Proceso y Almacenamiento</t>
  </si>
  <si>
    <t>AGA305</t>
  </si>
  <si>
    <t>1. Operaciones de postcosecha</t>
  </si>
  <si>
    <t>1.1 Implementa las operaciones de postcosecha que permitan realizar el proceso y conservación de productos agrícolas de acuerdo a estándares y normas de calidad e inocuidad y el razonamiento ético en el ámbito profesional.</t>
  </si>
  <si>
    <t>Laboratorio (3 h): reconocimiento y uso de equipos e instrumentos de medición de calidad: presionómetro, tabla de colores, acidez, refractómetro, calibre, etc.</t>
  </si>
  <si>
    <t>2. Manejo de residuos peligrosos</t>
  </si>
  <si>
    <t>2.1 Aplica directrices en la eliminación de desechos peligrosos para el cumplimiento de protocolos de seguridad según normativa vigente, a través de un aprendizaje continuo.</t>
  </si>
  <si>
    <t>Actividad en aula (3 h): identificación de desechos peligrosos y definición de procedimientos de eliminación.</t>
  </si>
  <si>
    <t>3. Embalaje y almacenamiento de frutas y hortalizas</t>
  </si>
  <si>
    <t>3.1 Determina los requisitos de embalaje y almacenamiento de los productos para lograr mantener condiciones óptimas de frutas y hortalizas durante el período de almacenaje.</t>
  </si>
  <si>
    <t>Salida a terreno (6 h) a planta de proceso/agroindustria y laboratorio (3 h) de reconocimiento de tipos y materiales de embalaje.</t>
  </si>
  <si>
    <t>Tecnologías de Riego y Gestión del Agua</t>
  </si>
  <si>
    <t>AGA551</t>
  </si>
  <si>
    <t>1. Disponibilidad de agua para el riego</t>
  </si>
  <si>
    <t>1.1 Calcula la disponibilidad de agua, para optimizar el proceso de riego de una superficie cultivable, considerando fuentes de abastecimiento superficiales y/o subterráneas.</t>
  </si>
  <si>
    <t>Medición de caudales (6 h aprox.) en estructuras hidráulicas abiertas, cerradas y de repartición, con cálculos e informe.</t>
  </si>
  <si>
    <t>2. Necesidades de agua de los cultivos y el agua en el suelo</t>
  </si>
  <si>
    <t>2.1 Produce un programa de riego, con el fin de satisfacer las necesidades de los cultivos y/o frutales, considerando parámetros de optimización de la gestión del recurso agua.</t>
  </si>
  <si>
    <t>Programa de riego (6 h aprox.) en Excel: suelo, planta, método de riego, almacenamiento, evapotranspiración, frecuencia y tiempo de riego.</t>
  </si>
  <si>
    <t>3. Diseño de redes de riego</t>
  </si>
  <si>
    <t>3.1 Diseña redes básicas de riego tecnificado, para potenciar el rendimiento y calidad en cultivos y/o frutales, considerando la identificación y descomposición del objetivo y las características agronómicas e hidráulicas.</t>
  </si>
  <si>
    <t>Red de tuberías (6 h aprox.): visita a empresa agrícola, análisis de red de riego tecnificado, tuberías, caudales, terreno y condiciones agronómicas/hidráulicas.</t>
  </si>
  <si>
    <t>Uso de Agroquímicos y Aseguramiento de la Calidad</t>
  </si>
  <si>
    <t>AGA306</t>
  </si>
  <si>
    <t>1. Características de los agroquímicos</t>
  </si>
  <si>
    <t>1.1 Establece las características de los agroquímicos, según su composición, objetivo e impacto ambiental, considerando el trabajo colaborativo y la comunicación.</t>
  </si>
  <si>
    <t>Remítase al diseño instruccional diseñado por el área académica.</t>
  </si>
  <si>
    <t>2. Equipos y medidas de seguridad para aplicación de agroquímicos</t>
  </si>
  <si>
    <t>2.1 Define un programa de aplicación y de mantenimiento para el uso seguro de agroquímicos, considerando las condiciones del lugar de aplicación, la normativa vigente, el trabajo colaborativo y la comunicación.</t>
  </si>
  <si>
    <t>3. Aseguramiento de la calidad de productos agrícolas</t>
  </si>
  <si>
    <t>3.1 Aplica procedimientos para el aseguramiento de la calidad de productos agrícolas, reconociendo las instituciones y normativas asociadas y las exigencias de calidad de los mercados de destino a través del aprendizaje continuo.</t>
  </si>
  <si>
    <t>4.1 Planifica un programa fitosanitario de aplicación de agroquímicos para una especie hortícola, considerando los mercados de destino, el impacto medioambiental, y el aseguramiento de la calidad del producto.</t>
  </si>
  <si>
    <t>N° unidades</t>
  </si>
  <si>
    <t>Tipo de AMO</t>
  </si>
  <si>
    <t>Criterio utilizado</t>
  </si>
  <si>
    <t>AMO = Actividad Mínima Obligatoria.
“Sí”: el descriptor especifica una actividad concreta.
“A definir por docente”: el descriptor deja la actividad a criterio del docente.
“Definida por área”: el descriptor remite al diseño instruccional centralizado del área.
Los aprendizajes esperados se mantuvieron con la redacción del descriptor; las actividades se sintetizaron para facilitar lectura.</t>
  </si>
  <si>
    <t>A definir por docente, Sí</t>
  </si>
  <si>
    <t>Asignatura</t>
  </si>
  <si>
    <t>Profesor</t>
  </si>
  <si>
    <t>AGO431</t>
  </si>
  <si>
    <t>Seguridad Y Salud Laboral</t>
  </si>
  <si>
    <t>Cabezas Iturra Camila Daniela</t>
  </si>
  <si>
    <t>Gutiérrez Vásquez Luis Anibal</t>
  </si>
  <si>
    <t>Cultivos Intensivos Y Sistemas Hidropónicos</t>
  </si>
  <si>
    <t>Vallejos Catrilao Gonzalo Hernán</t>
  </si>
  <si>
    <t>ATAN01</t>
  </si>
  <si>
    <t>Administración</t>
  </si>
  <si>
    <t>Zunino Urrutia Claudio Ignacio</t>
  </si>
  <si>
    <t>Sistemas De Riego</t>
  </si>
  <si>
    <t>Gestión De Riesgos Climáticos</t>
  </si>
  <si>
    <t>Vidal Carrasco Pilar Gabriela</t>
  </si>
  <si>
    <t>Sandoval Zapata Lorena Beatriz</t>
  </si>
  <si>
    <t>Gestión De Calidad Agrícola</t>
  </si>
  <si>
    <t>Pezoa Sepúlveda Yerka Eugenia</t>
  </si>
  <si>
    <t>Tecnologías De Riego Y Gestión Del Agua</t>
  </si>
  <si>
    <t>Plan De Marketing De Productos Y Servicios</t>
  </si>
  <si>
    <t>García Moscoso Richard Fabian</t>
  </si>
  <si>
    <t>Proyecto De Título Profesional</t>
  </si>
  <si>
    <t>Fundamentos De Plagas, Enfermedades Y Malezas</t>
  </si>
  <si>
    <t>Saravia Martinez Antonio Javier</t>
  </si>
  <si>
    <t>Prevención Y Control De Plagas, Enfermedades Y Malezas</t>
  </si>
  <si>
    <t>Taller De Prácticas Agrícolas Sostenibles</t>
  </si>
  <si>
    <t>Acevedo Aguayo Mario Eduardo</t>
  </si>
  <si>
    <t>ATFI01</t>
  </si>
  <si>
    <t>Finanzas</t>
  </si>
  <si>
    <t>Guevara Ruiz Marcela Denis</t>
  </si>
  <si>
    <t>Interpretación Y Uso De Datos En Agricultura De Precisión</t>
  </si>
  <si>
    <t>Cruces Soto Sonia Margoth</t>
  </si>
  <si>
    <t>FGIE03</t>
  </si>
  <si>
    <t>Innovación Y Emprendimiento Iii</t>
  </si>
  <si>
    <t>Martin Carrasco Denis</t>
  </si>
  <si>
    <t>CBPR01</t>
  </si>
  <si>
    <t>Probabilidad</t>
  </si>
  <si>
    <t>Rivera Zapata Jonathan Ignacio</t>
  </si>
  <si>
    <t>Manejo De Suelo Y Nutrición Vegetal</t>
  </si>
  <si>
    <t>Soto Soto Sergio Antonio</t>
  </si>
  <si>
    <t>Gestión Del Proceso De Producción Agrícola</t>
  </si>
  <si>
    <t>Producción De Hortalizas</t>
  </si>
  <si>
    <t>Tecnologías Agrícolas Y Post Cosecha</t>
  </si>
  <si>
    <t>Cifuentes Barrientos Carlos Alfredo</t>
  </si>
  <si>
    <t>FICE01</t>
  </si>
  <si>
    <t>Creación De Empresas</t>
  </si>
  <si>
    <t>Gestión Para La Certificación</t>
  </si>
  <si>
    <t>Gestión De Labores Agrícolas</t>
  </si>
  <si>
    <t>Formulación Y Evaluación De Proyectos</t>
  </si>
  <si>
    <t>Gestión De La Producción Agrícola</t>
  </si>
  <si>
    <t>Diseño De Planes De Producción Agrícola</t>
  </si>
  <si>
    <t>Castillo Soto Jaime Andrés</t>
  </si>
  <si>
    <t>CBET01</t>
  </si>
  <si>
    <t>Estadística</t>
  </si>
  <si>
    <t>Vinet Peralta Cristian Guillermo</t>
  </si>
  <si>
    <t>FGFC03</t>
  </si>
  <si>
    <t>Formación Ciudadana</t>
  </si>
  <si>
    <t>Sanzana Cid María Letisia</t>
  </si>
  <si>
    <t>Tecnologías De Proceso Y Almacenamiento</t>
  </si>
  <si>
    <t>MTFG01</t>
  </si>
  <si>
    <t>Funciones Y Geometría</t>
  </si>
  <si>
    <t>Fernandez Leon Tatiana Raquel</t>
  </si>
  <si>
    <t>Producción De Cultivos Agrícolas</t>
  </si>
  <si>
    <t>MTAE02</t>
  </si>
  <si>
    <t>Resolución De Problemas En Álgebra</t>
  </si>
  <si>
    <t>Pinilla Uribe Geraldo Enrique</t>
  </si>
  <si>
    <t>Uso De Agroquímicos Y Aseguramiento De La Calidad</t>
  </si>
  <si>
    <t>Docente</t>
  </si>
  <si>
    <t>Codigo</t>
  </si>
  <si>
    <t>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</si>
</sst>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name val="Carlito"/>
    </font>
    <font>
      <b/>
      <sz val="11"/>
      <color rgb="FFFFFFFF"/>
      <name val="Carlito"/>
    </font>
    <font>
      <b/>
      <sz val="11"/>
      <color theme="1"/>
      <name val="Calibri"/>
      <family val="2"/>
      <scheme val="minor"/>
    </font>
    <font>
      <sz val="8"/>
      <name val="Carlito"/>
    </font>
  </fonts>
  <fills count="4">
    <fill>
      <patternFill patternType="none"/>
    </fill>
    <fill>
      <patternFill patternType="gray125"/>
    </fill>
    <fill>
      <patternFill patternType="solid">
        <fgColor rgb="FFB91C1C"/>
      </patternFill>
    </fill>
    <fill>
      <patternFill patternType="solid">
        <fgColor rgb="FF7F1D1D"/>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0" fontId="1" fillId="2" borderId="0" xfId="0" applyFont="1" applyFill="1" applyAlignment="1">
      <alignment horizontal="center" vertical="center" wrapText="1"/>
    </xf>
    <xf numFmtId="0" fontId="0" fillId="0" borderId="0" xfId="0" applyAlignment="1">
      <alignment wrapText="1"/>
    </xf>
    <xf numFmtId="0" fontId="0" fillId="0" borderId="0" xfId="0" applyAlignment="1">
      <alignment vertical="top" wrapText="1"/>
    </xf>
    <xf numFmtId="0" fontId="1" fillId="3" borderId="0" xfId="0" applyFont="1" applyFill="1" applyAlignment="1">
      <alignment horizontal="center" wrapText="1"/>
    </xf>
    <xf numFmtId="0" fontId="1" fillId="2" borderId="0" xfId="0" applyFont="1" applyFill="1" applyAlignment="1">
      <alignment horizontal="center"/>
    </xf>
    <xf numFmtId="0" fontId="0" fillId="0" borderId="0" xfId="0"/>
    <xf numFmtId="0" fontId="0" fillId="0" borderId="0" xfId="0" applyAlignment="1">
      <alignment vertical="top" wrapText="1"/>
    </xf>
    <xf numFmtId="0" fontId="2" fillId="0" borderId="0" xfId="0" applyFont="1" applyAlignment="1">
      <alignment wrapText="1"/>
    </xf>
    <xf numFmtId="0" fontId="0" fillId="0" borderId="1" xfId="0" applyBorder="1" applyAlignment="1">
      <alignment horizontal="center" vertical="center" wrapText="1"/>
    </xf>
    <xf numFmtId="0" fontId="0" fillId="0" borderId="1" xfId="0" applyBorder="1" applyAlignment="1">
      <alignment vertical="top" wrapText="1"/>
    </xf>
  </cellXfs>
  <cellStyles count="1">
    <cellStyle name="Normal" xfId="0" builtinId="0"/>
  </cellStyles>
  <dxfs count="4">
    <dxf>
      <font>
        <color rgb="FF1E40AF"/>
      </font>
      <fill>
        <patternFill patternType="solid">
          <bgColor rgb="FFDBEAFE"/>
        </patternFill>
      </fill>
    </dxf>
    <dxf>
      <font>
        <color rgb="FF92400E"/>
      </font>
      <fill>
        <patternFill patternType="solid">
          <bgColor rgb="FFFEF3C7"/>
        </patternFill>
      </fill>
    </dxf>
    <dxf>
      <font>
        <b/>
        <color rgb="FF166534"/>
      </font>
      <fill>
        <patternFill patternType="solid">
          <bgColor rgb="FFDCFCE7"/>
        </patternFill>
      </fil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MatrizDescriptores" displayName="MatrizDescriptores" ref="A1:G99" totalsRowShown="0">
  <autoFilter ref="A1:G99" xr:uid="{00000000-000C-0000-FFFF-FFFF00000000}"/>
  <tableColumns count="7">
    <tableColumn id="1" xr3:uid="{00000000-0010-0000-0000-000001000000}" name="Descriptor"/>
    <tableColumn id="2" xr3:uid="{00000000-0010-0000-0000-000002000000}" name="Código"/>
    <tableColumn id="3" xr3:uid="{00000000-0010-0000-0000-000003000000}" name="Unidad de aprendizaje"/>
    <tableColumn id="4" xr3:uid="{00000000-0010-0000-0000-000004000000}" name="Aprendizaje(s) esperado(s)"/>
    <tableColumn id="5" xr3:uid="{00000000-0010-0000-0000-000005000000}" name="AMO"/>
    <tableColumn id="6" xr3:uid="{00000000-0010-0000-0000-000006000000}" name="Actividad mínima obligatoria / indicación"/>
    <tableColumn id="8" xr3:uid="{767D3487-D7A8-4CF8-8D85-A75DABE6922B}" name="Docente" dataDxfId="3">
      <calculatedColumnFormula>LOOKUP(MatrizDescriptores[[#This Row],[Código]],Hoja2!$A$2:$C$52)</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ResumenDescriptores" displayName="ResumenDescriptores" ref="A1:D31" totalsRowShown="0">
  <tableColumns count="4">
    <tableColumn id="1" xr3:uid="{00000000-0010-0000-0100-000001000000}" name="Código"/>
    <tableColumn id="2" xr3:uid="{00000000-0010-0000-0100-000002000000}" name="Descriptor"/>
    <tableColumn id="3" xr3:uid="{00000000-0010-0000-0100-000003000000}" name="N° unidades"/>
    <tableColumn id="4" xr3:uid="{00000000-0010-0000-0100-000004000000}" name="Tipo de AMO"/>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99"/>
  <sheetViews>
    <sheetView workbookViewId="0">
      <selection sqref="A1:C1048576"/>
    </sheetView>
  </sheetViews>
  <sheetFormatPr baseColWidth="10" defaultColWidth="9" defaultRowHeight="14.25"/>
  <cols>
    <col min="1" max="1" width="30" customWidth="1"/>
    <col min="2" max="2" width="12" customWidth="1"/>
    <col min="3" max="3" width="36" customWidth="1"/>
    <col min="4" max="4" width="62" customWidth="1"/>
    <col min="5" max="5" width="18" customWidth="1"/>
    <col min="6" max="6" width="58" customWidth="1"/>
    <col min="7" max="7" width="29.875" bestFit="1" customWidth="1"/>
  </cols>
  <sheetData>
    <row r="1" spans="1:7" ht="30" customHeight="1">
      <c r="A1" s="1" t="s">
        <v>0</v>
      </c>
      <c r="B1" s="1" t="s">
        <v>1</v>
      </c>
      <c r="C1" s="1" t="s">
        <v>2</v>
      </c>
      <c r="D1" s="1" t="s">
        <v>3</v>
      </c>
      <c r="E1" s="1" t="s">
        <v>4</v>
      </c>
      <c r="F1" s="1" t="s">
        <v>5</v>
      </c>
      <c r="G1" t="s">
        <v>400</v>
      </c>
    </row>
    <row r="2" spans="1:7" ht="57">
      <c r="A2" s="3" t="s">
        <v>6</v>
      </c>
      <c r="B2" s="3" t="s">
        <v>7</v>
      </c>
      <c r="C2" s="3" t="s">
        <v>8</v>
      </c>
      <c r="D2" s="3" t="s">
        <v>9</v>
      </c>
      <c r="E2" s="3" t="s">
        <v>10</v>
      </c>
      <c r="F2" s="3" t="s">
        <v>11</v>
      </c>
      <c r="G2" t="str">
        <f>LOOKUP(MatrizDescriptores[[#This Row],[Código]],Hoja2!$A$2:$C$52)</f>
        <v>Saravia Martinez Antonio Javier</v>
      </c>
    </row>
    <row r="3" spans="1:7" ht="57">
      <c r="A3" s="3" t="s">
        <v>6</v>
      </c>
      <c r="B3" s="3" t="s">
        <v>7</v>
      </c>
      <c r="C3" s="3" t="s">
        <v>12</v>
      </c>
      <c r="D3" s="3" t="s">
        <v>13</v>
      </c>
      <c r="E3" s="3" t="s">
        <v>10</v>
      </c>
      <c r="F3" s="3" t="s">
        <v>14</v>
      </c>
      <c r="G3" t="str">
        <f>LOOKUP(MatrizDescriptores[[#This Row],[Código]],Hoja2!$A$2:$C$52)</f>
        <v>Saravia Martinez Antonio Javier</v>
      </c>
    </row>
    <row r="4" spans="1:7" ht="57">
      <c r="A4" s="3" t="s">
        <v>6</v>
      </c>
      <c r="B4" s="3" t="s">
        <v>7</v>
      </c>
      <c r="C4" s="3" t="s">
        <v>15</v>
      </c>
      <c r="D4" s="3" t="s">
        <v>16</v>
      </c>
      <c r="E4" s="3" t="s">
        <v>10</v>
      </c>
      <c r="F4" s="3" t="s">
        <v>17</v>
      </c>
      <c r="G4" t="str">
        <f>LOOKUP(MatrizDescriptores[[#This Row],[Código]],Hoja2!$A$2:$C$52)</f>
        <v>Saravia Martinez Antonio Javier</v>
      </c>
    </row>
    <row r="5" spans="1:7" ht="85.5">
      <c r="A5" s="3" t="s">
        <v>18</v>
      </c>
      <c r="B5" s="3" t="s">
        <v>19</v>
      </c>
      <c r="C5" s="3" t="s">
        <v>20</v>
      </c>
      <c r="D5" s="3" t="s">
        <v>21</v>
      </c>
      <c r="E5" s="3" t="s">
        <v>10</v>
      </c>
      <c r="F5" s="3" t="s">
        <v>22</v>
      </c>
      <c r="G5" t="str">
        <f>LOOKUP(MatrizDescriptores[[#This Row],[Código]],Hoja2!$A$2:$C$52)</f>
        <v>Acevedo Aguayo Mario Eduardo</v>
      </c>
    </row>
    <row r="6" spans="1:7" ht="99.75">
      <c r="A6" s="3" t="s">
        <v>18</v>
      </c>
      <c r="B6" s="3" t="s">
        <v>19</v>
      </c>
      <c r="C6" s="3" t="s">
        <v>23</v>
      </c>
      <c r="D6" s="3" t="s">
        <v>24</v>
      </c>
      <c r="E6" s="3" t="s">
        <v>10</v>
      </c>
      <c r="F6" s="3" t="s">
        <v>25</v>
      </c>
      <c r="G6" t="str">
        <f>LOOKUP(MatrizDescriptores[[#This Row],[Código]],Hoja2!$A$2:$C$52)</f>
        <v>Acevedo Aguayo Mario Eduardo</v>
      </c>
    </row>
    <row r="7" spans="1:7" ht="99.75">
      <c r="A7" s="3" t="s">
        <v>18</v>
      </c>
      <c r="B7" s="3" t="s">
        <v>19</v>
      </c>
      <c r="C7" s="3" t="s">
        <v>26</v>
      </c>
      <c r="D7" s="3" t="s">
        <v>27</v>
      </c>
      <c r="E7" s="3" t="s">
        <v>10</v>
      </c>
      <c r="F7" s="3" t="s">
        <v>28</v>
      </c>
      <c r="G7" t="str">
        <f>LOOKUP(MatrizDescriptores[[#This Row],[Código]],Hoja2!$A$2:$C$52)</f>
        <v>Acevedo Aguayo Mario Eduardo</v>
      </c>
    </row>
    <row r="8" spans="1:7" ht="57">
      <c r="A8" s="3" t="s">
        <v>29</v>
      </c>
      <c r="B8" s="3" t="s">
        <v>30</v>
      </c>
      <c r="C8" s="3" t="s">
        <v>31</v>
      </c>
      <c r="D8" s="3" t="s">
        <v>32</v>
      </c>
      <c r="E8" s="3" t="s">
        <v>10</v>
      </c>
      <c r="F8" s="3" t="s">
        <v>33</v>
      </c>
      <c r="G8" t="str">
        <f>LOOKUP(MatrizDescriptores[[#This Row],[Código]],Hoja2!$A$2:$C$52)</f>
        <v>Vallejos Catrilao Gonzalo Hernán</v>
      </c>
    </row>
    <row r="9" spans="1:7" ht="57">
      <c r="A9" s="3" t="s">
        <v>29</v>
      </c>
      <c r="B9" s="3" t="s">
        <v>30</v>
      </c>
      <c r="C9" s="3" t="s">
        <v>34</v>
      </c>
      <c r="D9" s="3" t="s">
        <v>35</v>
      </c>
      <c r="E9" s="3" t="s">
        <v>10</v>
      </c>
      <c r="F9" s="3" t="s">
        <v>36</v>
      </c>
      <c r="G9" t="str">
        <f>LOOKUP(MatrizDescriptores[[#This Row],[Código]],Hoja2!$A$2:$C$52)</f>
        <v>Vallejos Catrilao Gonzalo Hernán</v>
      </c>
    </row>
    <row r="10" spans="1:7" ht="42.75">
      <c r="A10" s="3" t="s">
        <v>37</v>
      </c>
      <c r="B10" s="3" t="s">
        <v>38</v>
      </c>
      <c r="C10" s="3" t="s">
        <v>39</v>
      </c>
      <c r="D10" s="3" t="s">
        <v>40</v>
      </c>
      <c r="E10" s="3" t="s">
        <v>10</v>
      </c>
      <c r="F10" s="3" t="s">
        <v>41</v>
      </c>
      <c r="G10" t="str">
        <f>LOOKUP(MatrizDescriptores[[#This Row],[Código]],Hoja2!$A$2:$C$52)</f>
        <v>Sandoval Zapata Lorena Beatriz</v>
      </c>
    </row>
    <row r="11" spans="1:7" ht="57">
      <c r="A11" s="3" t="s">
        <v>37</v>
      </c>
      <c r="B11" s="3" t="s">
        <v>38</v>
      </c>
      <c r="C11" s="3" t="s">
        <v>42</v>
      </c>
      <c r="D11" s="3" t="s">
        <v>43</v>
      </c>
      <c r="E11" s="3" t="s">
        <v>10</v>
      </c>
      <c r="F11" s="3" t="s">
        <v>44</v>
      </c>
      <c r="G11" t="str">
        <f>LOOKUP(MatrizDescriptores[[#This Row],[Código]],Hoja2!$A$2:$C$52)</f>
        <v>Sandoval Zapata Lorena Beatriz</v>
      </c>
    </row>
    <row r="12" spans="1:7" ht="42.75">
      <c r="A12" s="3" t="s">
        <v>37</v>
      </c>
      <c r="B12" s="3" t="s">
        <v>38</v>
      </c>
      <c r="C12" s="3" t="s">
        <v>45</v>
      </c>
      <c r="D12" s="3" t="s">
        <v>46</v>
      </c>
      <c r="E12" s="3" t="s">
        <v>10</v>
      </c>
      <c r="F12" s="3" t="s">
        <v>47</v>
      </c>
      <c r="G12" t="str">
        <f>LOOKUP(MatrizDescriptores[[#This Row],[Código]],Hoja2!$A$2:$C$52)</f>
        <v>Sandoval Zapata Lorena Beatriz</v>
      </c>
    </row>
    <row r="13" spans="1:7" ht="57">
      <c r="A13" s="3" t="s">
        <v>48</v>
      </c>
      <c r="B13" s="3" t="s">
        <v>49</v>
      </c>
      <c r="C13" s="3" t="s">
        <v>50</v>
      </c>
      <c r="D13" s="3" t="s">
        <v>51</v>
      </c>
      <c r="E13" s="3" t="s">
        <v>10</v>
      </c>
      <c r="F13" s="3" t="s">
        <v>52</v>
      </c>
      <c r="G13" t="str">
        <f>LOOKUP(MatrizDescriptores[[#This Row],[Código]],Hoja2!$A$2:$C$52)</f>
        <v>Sandoval Zapata Lorena Beatriz</v>
      </c>
    </row>
    <row r="14" spans="1:7" ht="57">
      <c r="A14" s="3" t="s">
        <v>48</v>
      </c>
      <c r="B14" s="3" t="s">
        <v>49</v>
      </c>
      <c r="C14" s="3" t="s">
        <v>53</v>
      </c>
      <c r="D14" s="3" t="s">
        <v>54</v>
      </c>
      <c r="E14" s="3" t="s">
        <v>10</v>
      </c>
      <c r="F14" s="3" t="s">
        <v>55</v>
      </c>
      <c r="G14" t="str">
        <f>LOOKUP(MatrizDescriptores[[#This Row],[Código]],Hoja2!$A$2:$C$52)</f>
        <v>Sandoval Zapata Lorena Beatriz</v>
      </c>
    </row>
    <row r="15" spans="1:7" ht="42.75">
      <c r="A15" s="3" t="s">
        <v>48</v>
      </c>
      <c r="B15" s="3" t="s">
        <v>49</v>
      </c>
      <c r="C15" s="3" t="s">
        <v>56</v>
      </c>
      <c r="D15" s="3" t="s">
        <v>57</v>
      </c>
      <c r="E15" s="3" t="s">
        <v>58</v>
      </c>
      <c r="F15" s="3" t="s">
        <v>59</v>
      </c>
      <c r="G15" t="str">
        <f>LOOKUP(MatrizDescriptores[[#This Row],[Código]],Hoja2!$A$2:$C$52)</f>
        <v>Sandoval Zapata Lorena Beatriz</v>
      </c>
    </row>
    <row r="16" spans="1:7" ht="128.25">
      <c r="A16" s="3" t="s">
        <v>60</v>
      </c>
      <c r="B16" s="3" t="s">
        <v>61</v>
      </c>
      <c r="C16" s="3" t="s">
        <v>62</v>
      </c>
      <c r="D16" s="3" t="s">
        <v>63</v>
      </c>
      <c r="E16" s="3" t="s">
        <v>10</v>
      </c>
      <c r="F16" s="3" t="s">
        <v>64</v>
      </c>
      <c r="G16" t="str">
        <f>LOOKUP(MatrizDescriptores[[#This Row],[Código]],Hoja2!$A$2:$C$52)</f>
        <v>Pezoa Sepúlveda Yerka Eugenia</v>
      </c>
    </row>
    <row r="17" spans="1:7" ht="71.25">
      <c r="A17" s="3" t="s">
        <v>60</v>
      </c>
      <c r="B17" s="3" t="s">
        <v>61</v>
      </c>
      <c r="C17" s="3" t="s">
        <v>65</v>
      </c>
      <c r="D17" s="3" t="s">
        <v>66</v>
      </c>
      <c r="E17" s="3" t="s">
        <v>10</v>
      </c>
      <c r="F17" s="3" t="s">
        <v>67</v>
      </c>
      <c r="G17" t="str">
        <f>LOOKUP(MatrizDescriptores[[#This Row],[Código]],Hoja2!$A$2:$C$52)</f>
        <v>Pezoa Sepúlveda Yerka Eugenia</v>
      </c>
    </row>
    <row r="18" spans="1:7" ht="57">
      <c r="A18" s="3" t="s">
        <v>60</v>
      </c>
      <c r="B18" s="3" t="s">
        <v>61</v>
      </c>
      <c r="C18" s="3" t="s">
        <v>68</v>
      </c>
      <c r="D18" s="3" t="s">
        <v>69</v>
      </c>
      <c r="E18" s="3" t="s">
        <v>10</v>
      </c>
      <c r="F18" s="3" t="s">
        <v>70</v>
      </c>
      <c r="G18" t="str">
        <f>LOOKUP(MatrizDescriptores[[#This Row],[Código]],Hoja2!$A$2:$C$52)</f>
        <v>Pezoa Sepúlveda Yerka Eugenia</v>
      </c>
    </row>
    <row r="19" spans="1:7" ht="42.75">
      <c r="A19" s="3" t="s">
        <v>71</v>
      </c>
      <c r="B19" s="3" t="s">
        <v>72</v>
      </c>
      <c r="C19" s="3" t="s">
        <v>73</v>
      </c>
      <c r="D19" s="3" t="s">
        <v>74</v>
      </c>
      <c r="E19" s="3" t="s">
        <v>10</v>
      </c>
      <c r="F19" s="3" t="s">
        <v>75</v>
      </c>
      <c r="G19" t="str">
        <f>LOOKUP(MatrizDescriptores[[#This Row],[Código]],Hoja2!$A$2:$C$52)</f>
        <v>Cifuentes Barrientos Carlos Alfredo</v>
      </c>
    </row>
    <row r="20" spans="1:7" ht="42.75">
      <c r="A20" s="3" t="s">
        <v>71</v>
      </c>
      <c r="B20" s="3" t="s">
        <v>72</v>
      </c>
      <c r="C20" s="3" t="s">
        <v>76</v>
      </c>
      <c r="D20" s="3" t="s">
        <v>77</v>
      </c>
      <c r="E20" s="3" t="s">
        <v>10</v>
      </c>
      <c r="F20" s="3" t="s">
        <v>78</v>
      </c>
      <c r="G20" t="str">
        <f>LOOKUP(MatrizDescriptores[[#This Row],[Código]],Hoja2!$A$2:$C$52)</f>
        <v>Cifuentes Barrientos Carlos Alfredo</v>
      </c>
    </row>
    <row r="21" spans="1:7" ht="42.75">
      <c r="A21" s="3" t="s">
        <v>71</v>
      </c>
      <c r="B21" s="3" t="s">
        <v>72</v>
      </c>
      <c r="C21" s="3" t="s">
        <v>79</v>
      </c>
      <c r="D21" s="3" t="s">
        <v>80</v>
      </c>
      <c r="E21" s="3" t="s">
        <v>10</v>
      </c>
      <c r="F21" s="3" t="s">
        <v>81</v>
      </c>
      <c r="G21" t="str">
        <f>LOOKUP(MatrizDescriptores[[#This Row],[Código]],Hoja2!$A$2:$C$52)</f>
        <v>Cifuentes Barrientos Carlos Alfredo</v>
      </c>
    </row>
    <row r="22" spans="1:7" ht="57">
      <c r="A22" s="3" t="s">
        <v>71</v>
      </c>
      <c r="B22" s="3" t="s">
        <v>72</v>
      </c>
      <c r="C22" s="3" t="s">
        <v>82</v>
      </c>
      <c r="D22" s="3" t="s">
        <v>83</v>
      </c>
      <c r="E22" s="3" t="s">
        <v>10</v>
      </c>
      <c r="F22" s="3" t="s">
        <v>84</v>
      </c>
      <c r="G22" t="str">
        <f>LOOKUP(MatrizDescriptores[[#This Row],[Código]],Hoja2!$A$2:$C$52)</f>
        <v>Cifuentes Barrientos Carlos Alfredo</v>
      </c>
    </row>
    <row r="23" spans="1:7" ht="42.75">
      <c r="A23" s="3" t="s">
        <v>85</v>
      </c>
      <c r="B23" s="3" t="s">
        <v>86</v>
      </c>
      <c r="C23" s="3" t="s">
        <v>87</v>
      </c>
      <c r="D23" s="3" t="s">
        <v>88</v>
      </c>
      <c r="E23" s="3" t="s">
        <v>10</v>
      </c>
      <c r="F23" s="3" t="s">
        <v>89</v>
      </c>
      <c r="G23" t="str">
        <f>LOOKUP(MatrizDescriptores[[#This Row],[Código]],Hoja2!$A$2:$C$52)</f>
        <v>Cifuentes Barrientos Carlos Alfredo</v>
      </c>
    </row>
    <row r="24" spans="1:7" ht="71.25">
      <c r="A24" s="3" t="s">
        <v>85</v>
      </c>
      <c r="B24" s="3" t="s">
        <v>86</v>
      </c>
      <c r="C24" s="3" t="s">
        <v>90</v>
      </c>
      <c r="D24" s="3" t="s">
        <v>91</v>
      </c>
      <c r="E24" s="3" t="s">
        <v>10</v>
      </c>
      <c r="F24" s="3" t="s">
        <v>92</v>
      </c>
      <c r="G24" t="str">
        <f>LOOKUP(MatrizDescriptores[[#This Row],[Código]],Hoja2!$A$2:$C$52)</f>
        <v>Cifuentes Barrientos Carlos Alfredo</v>
      </c>
    </row>
    <row r="25" spans="1:7" ht="57">
      <c r="A25" s="3" t="s">
        <v>85</v>
      </c>
      <c r="B25" s="3" t="s">
        <v>86</v>
      </c>
      <c r="C25" s="3" t="s">
        <v>93</v>
      </c>
      <c r="D25" s="3" t="s">
        <v>94</v>
      </c>
      <c r="E25" s="3" t="s">
        <v>10</v>
      </c>
      <c r="F25" s="3" t="s">
        <v>95</v>
      </c>
      <c r="G25" t="str">
        <f>LOOKUP(MatrizDescriptores[[#This Row],[Código]],Hoja2!$A$2:$C$52)</f>
        <v>Cifuentes Barrientos Carlos Alfredo</v>
      </c>
    </row>
    <row r="26" spans="1:7" ht="28.5">
      <c r="A26" s="3" t="s">
        <v>96</v>
      </c>
      <c r="B26" s="3" t="s">
        <v>97</v>
      </c>
      <c r="C26" s="3" t="s">
        <v>98</v>
      </c>
      <c r="D26" s="3" t="s">
        <v>99</v>
      </c>
      <c r="E26" s="3" t="s">
        <v>10</v>
      </c>
      <c r="F26" s="3" t="s">
        <v>100</v>
      </c>
      <c r="G26" t="str">
        <f>LOOKUP(MatrizDescriptores[[#This Row],[Código]],Hoja2!$A$2:$C$52)</f>
        <v>Saravia Martinez Antonio Javier</v>
      </c>
    </row>
    <row r="27" spans="1:7" ht="42.75">
      <c r="A27" s="3" t="s">
        <v>96</v>
      </c>
      <c r="B27" s="3" t="s">
        <v>97</v>
      </c>
      <c r="C27" s="3" t="s">
        <v>101</v>
      </c>
      <c r="D27" s="3" t="s">
        <v>102</v>
      </c>
      <c r="E27" s="3" t="s">
        <v>10</v>
      </c>
      <c r="F27" s="3" t="s">
        <v>103</v>
      </c>
      <c r="G27" t="str">
        <f>LOOKUP(MatrizDescriptores[[#This Row],[Código]],Hoja2!$A$2:$C$52)</f>
        <v>Saravia Martinez Antonio Javier</v>
      </c>
    </row>
    <row r="28" spans="1:7" ht="42.75">
      <c r="A28" s="3" t="s">
        <v>96</v>
      </c>
      <c r="B28" s="3" t="s">
        <v>97</v>
      </c>
      <c r="C28" s="3" t="s">
        <v>104</v>
      </c>
      <c r="D28" s="3" t="s">
        <v>105</v>
      </c>
      <c r="E28" s="3" t="s">
        <v>10</v>
      </c>
      <c r="F28" s="3" t="s">
        <v>106</v>
      </c>
      <c r="G28" t="str">
        <f>LOOKUP(MatrizDescriptores[[#This Row],[Código]],Hoja2!$A$2:$C$52)</f>
        <v>Saravia Martinez Antonio Javier</v>
      </c>
    </row>
    <row r="29" spans="1:7" ht="42.75">
      <c r="A29" s="3" t="s">
        <v>107</v>
      </c>
      <c r="B29" s="3" t="s">
        <v>108</v>
      </c>
      <c r="C29" s="3" t="s">
        <v>109</v>
      </c>
      <c r="D29" s="3" t="s">
        <v>110</v>
      </c>
      <c r="E29" s="3" t="s">
        <v>58</v>
      </c>
      <c r="F29" s="3" t="s">
        <v>59</v>
      </c>
      <c r="G29" t="str">
        <f>LOOKUP(MatrizDescriptores[[#This Row],[Código]],Hoja2!$A$2:$C$52)</f>
        <v>Sandoval Zapata Lorena Beatriz</v>
      </c>
    </row>
    <row r="30" spans="1:7" ht="57">
      <c r="A30" s="3" t="s">
        <v>107</v>
      </c>
      <c r="B30" s="3" t="s">
        <v>108</v>
      </c>
      <c r="C30" s="3" t="s">
        <v>111</v>
      </c>
      <c r="D30" s="3" t="s">
        <v>112</v>
      </c>
      <c r="E30" s="3" t="s">
        <v>10</v>
      </c>
      <c r="F30" s="3" t="s">
        <v>113</v>
      </c>
      <c r="G30" t="str">
        <f>LOOKUP(MatrizDescriptores[[#This Row],[Código]],Hoja2!$A$2:$C$52)</f>
        <v>Sandoval Zapata Lorena Beatriz</v>
      </c>
    </row>
    <row r="31" spans="1:7" ht="57">
      <c r="A31" s="3" t="s">
        <v>107</v>
      </c>
      <c r="B31" s="3" t="s">
        <v>108</v>
      </c>
      <c r="C31" s="3" t="s">
        <v>114</v>
      </c>
      <c r="D31" s="3" t="s">
        <v>115</v>
      </c>
      <c r="E31" s="3" t="s">
        <v>10</v>
      </c>
      <c r="F31" s="3" t="s">
        <v>116</v>
      </c>
      <c r="G31" t="str">
        <f>LOOKUP(MatrizDescriptores[[#This Row],[Código]],Hoja2!$A$2:$C$52)</f>
        <v>Sandoval Zapata Lorena Beatriz</v>
      </c>
    </row>
    <row r="32" spans="1:7" ht="42.75">
      <c r="A32" s="3" t="s">
        <v>117</v>
      </c>
      <c r="B32" s="3" t="s">
        <v>118</v>
      </c>
      <c r="C32" s="3" t="s">
        <v>119</v>
      </c>
      <c r="D32" s="3" t="s">
        <v>120</v>
      </c>
      <c r="E32" s="3" t="s">
        <v>10</v>
      </c>
      <c r="F32" s="3" t="s">
        <v>121</v>
      </c>
      <c r="G32" t="str">
        <f>LOOKUP(MatrizDescriptores[[#This Row],[Código]],Hoja2!$A$2:$C$52)</f>
        <v>Saravia Martinez Antonio Javier</v>
      </c>
    </row>
    <row r="33" spans="1:7" ht="57">
      <c r="A33" s="3" t="s">
        <v>117</v>
      </c>
      <c r="B33" s="3" t="s">
        <v>118</v>
      </c>
      <c r="C33" s="3" t="s">
        <v>122</v>
      </c>
      <c r="D33" s="3" t="s">
        <v>123</v>
      </c>
      <c r="E33" s="3" t="s">
        <v>10</v>
      </c>
      <c r="F33" s="3" t="s">
        <v>124</v>
      </c>
      <c r="G33" t="str">
        <f>LOOKUP(MatrizDescriptores[[#This Row],[Código]],Hoja2!$A$2:$C$52)</f>
        <v>Saravia Martinez Antonio Javier</v>
      </c>
    </row>
    <row r="34" spans="1:7" ht="57">
      <c r="A34" s="3" t="s">
        <v>117</v>
      </c>
      <c r="B34" s="3" t="s">
        <v>118</v>
      </c>
      <c r="C34" s="3" t="s">
        <v>125</v>
      </c>
      <c r="D34" s="3" t="s">
        <v>126</v>
      </c>
      <c r="E34" s="3" t="s">
        <v>58</v>
      </c>
      <c r="F34" s="3" t="s">
        <v>127</v>
      </c>
      <c r="G34" t="str">
        <f>LOOKUP(MatrizDescriptores[[#This Row],[Código]],Hoja2!$A$2:$C$52)</f>
        <v>Saravia Martinez Antonio Javier</v>
      </c>
    </row>
    <row r="35" spans="1:7" ht="42.75">
      <c r="A35" s="3" t="s">
        <v>128</v>
      </c>
      <c r="B35" s="3" t="s">
        <v>129</v>
      </c>
      <c r="C35" s="3" t="s">
        <v>130</v>
      </c>
      <c r="D35" s="3" t="s">
        <v>131</v>
      </c>
      <c r="E35" s="3" t="s">
        <v>132</v>
      </c>
      <c r="F35" s="3" t="s">
        <v>133</v>
      </c>
      <c r="G35" t="str">
        <f>LOOKUP(MatrizDescriptores[[#This Row],[Código]],Hoja2!$A$2:$C$52)</f>
        <v>Saravia Martinez Antonio Javier</v>
      </c>
    </row>
    <row r="36" spans="1:7" ht="42.75">
      <c r="A36" s="3" t="s">
        <v>128</v>
      </c>
      <c r="B36" s="3" t="s">
        <v>129</v>
      </c>
      <c r="C36" s="3" t="s">
        <v>134</v>
      </c>
      <c r="D36" s="3" t="s">
        <v>135</v>
      </c>
      <c r="E36" s="3" t="s">
        <v>132</v>
      </c>
      <c r="F36" s="3" t="s">
        <v>133</v>
      </c>
      <c r="G36" t="str">
        <f>LOOKUP(MatrizDescriptores[[#This Row],[Código]],Hoja2!$A$2:$C$52)</f>
        <v>Saravia Martinez Antonio Javier</v>
      </c>
    </row>
    <row r="37" spans="1:7" ht="42.75">
      <c r="A37" s="3" t="s">
        <v>128</v>
      </c>
      <c r="B37" s="3" t="s">
        <v>129</v>
      </c>
      <c r="C37" s="3" t="s">
        <v>136</v>
      </c>
      <c r="D37" s="3" t="s">
        <v>137</v>
      </c>
      <c r="E37" s="3" t="s">
        <v>132</v>
      </c>
      <c r="F37" s="3" t="s">
        <v>133</v>
      </c>
      <c r="G37" t="str">
        <f>LOOKUP(MatrizDescriptores[[#This Row],[Código]],Hoja2!$A$2:$C$52)</f>
        <v>Saravia Martinez Antonio Javier</v>
      </c>
    </row>
    <row r="38" spans="1:7" ht="85.5">
      <c r="A38" s="3" t="s">
        <v>128</v>
      </c>
      <c r="B38" s="3" t="s">
        <v>129</v>
      </c>
      <c r="C38" s="3" t="s">
        <v>138</v>
      </c>
      <c r="D38" s="3" t="s">
        <v>139</v>
      </c>
      <c r="E38" s="3" t="s">
        <v>132</v>
      </c>
      <c r="F38" s="3" t="s">
        <v>133</v>
      </c>
      <c r="G38" t="str">
        <f>LOOKUP(MatrizDescriptores[[#This Row],[Código]],Hoja2!$A$2:$C$52)</f>
        <v>Saravia Martinez Antonio Javier</v>
      </c>
    </row>
    <row r="39" spans="1:7" ht="42.75">
      <c r="A39" s="3" t="s">
        <v>140</v>
      </c>
      <c r="B39" s="3" t="s">
        <v>141</v>
      </c>
      <c r="C39" s="3" t="s">
        <v>142</v>
      </c>
      <c r="D39" s="3" t="s">
        <v>143</v>
      </c>
      <c r="E39" s="3" t="s">
        <v>10</v>
      </c>
      <c r="F39" s="3" t="s">
        <v>144</v>
      </c>
      <c r="G39" t="str">
        <f>LOOKUP(MatrizDescriptores[[#This Row],[Código]],Hoja2!$A$2:$C$52)</f>
        <v>Vallejos Catrilao Gonzalo Hernán</v>
      </c>
    </row>
    <row r="40" spans="1:7" ht="42.75">
      <c r="A40" s="3" t="s">
        <v>140</v>
      </c>
      <c r="B40" s="3" t="s">
        <v>141</v>
      </c>
      <c r="C40" s="3" t="s">
        <v>145</v>
      </c>
      <c r="D40" s="3" t="s">
        <v>146</v>
      </c>
      <c r="E40" s="3" t="s">
        <v>10</v>
      </c>
      <c r="F40" s="3" t="s">
        <v>147</v>
      </c>
      <c r="G40" t="str">
        <f>LOOKUP(MatrizDescriptores[[#This Row],[Código]],Hoja2!$A$2:$C$52)</f>
        <v>Vallejos Catrilao Gonzalo Hernán</v>
      </c>
    </row>
    <row r="41" spans="1:7" ht="57">
      <c r="A41" s="3" t="s">
        <v>140</v>
      </c>
      <c r="B41" s="3" t="s">
        <v>141</v>
      </c>
      <c r="C41" s="3" t="s">
        <v>148</v>
      </c>
      <c r="D41" s="3" t="s">
        <v>149</v>
      </c>
      <c r="E41" s="3" t="s">
        <v>10</v>
      </c>
      <c r="F41" s="3" t="s">
        <v>150</v>
      </c>
      <c r="G41" t="str">
        <f>LOOKUP(MatrizDescriptores[[#This Row],[Código]],Hoja2!$A$2:$C$52)</f>
        <v>Vallejos Catrilao Gonzalo Hernán</v>
      </c>
    </row>
    <row r="42" spans="1:7" ht="57">
      <c r="A42" s="3" t="s">
        <v>151</v>
      </c>
      <c r="B42" s="3" t="s">
        <v>152</v>
      </c>
      <c r="C42" s="3" t="s">
        <v>153</v>
      </c>
      <c r="D42" s="3" t="s">
        <v>154</v>
      </c>
      <c r="E42" s="3" t="s">
        <v>132</v>
      </c>
      <c r="F42" s="3" t="s">
        <v>155</v>
      </c>
      <c r="G42" t="str">
        <f>LOOKUP(MatrizDescriptores[[#This Row],[Código]],Hoja2!$A$2:$C$52)</f>
        <v>Acevedo Aguayo Mario Eduardo</v>
      </c>
    </row>
    <row r="43" spans="1:7" ht="57">
      <c r="A43" s="3" t="s">
        <v>151</v>
      </c>
      <c r="B43" s="3" t="s">
        <v>152</v>
      </c>
      <c r="C43" s="3" t="s">
        <v>156</v>
      </c>
      <c r="D43" s="3" t="s">
        <v>157</v>
      </c>
      <c r="E43" s="3" t="s">
        <v>132</v>
      </c>
      <c r="F43" s="3" t="s">
        <v>155</v>
      </c>
      <c r="G43" t="str">
        <f>LOOKUP(MatrizDescriptores[[#This Row],[Código]],Hoja2!$A$2:$C$52)</f>
        <v>Acevedo Aguayo Mario Eduardo</v>
      </c>
    </row>
    <row r="44" spans="1:7" ht="42.75">
      <c r="A44" s="3" t="s">
        <v>151</v>
      </c>
      <c r="B44" s="3" t="s">
        <v>152</v>
      </c>
      <c r="C44" s="3" t="s">
        <v>158</v>
      </c>
      <c r="D44" s="3" t="s">
        <v>159</v>
      </c>
      <c r="E44" s="3" t="s">
        <v>132</v>
      </c>
      <c r="F44" s="3" t="s">
        <v>155</v>
      </c>
      <c r="G44" t="str">
        <f>LOOKUP(MatrizDescriptores[[#This Row],[Código]],Hoja2!$A$2:$C$52)</f>
        <v>Acevedo Aguayo Mario Eduardo</v>
      </c>
    </row>
    <row r="45" spans="1:7" ht="71.25">
      <c r="A45" s="3" t="s">
        <v>151</v>
      </c>
      <c r="B45" s="3" t="s">
        <v>152</v>
      </c>
      <c r="C45" s="3" t="s">
        <v>160</v>
      </c>
      <c r="D45" s="3" t="s">
        <v>161</v>
      </c>
      <c r="E45" s="3" t="s">
        <v>132</v>
      </c>
      <c r="F45" s="3" t="s">
        <v>155</v>
      </c>
      <c r="G45" t="str">
        <f>LOOKUP(MatrizDescriptores[[#This Row],[Código]],Hoja2!$A$2:$C$52)</f>
        <v>Acevedo Aguayo Mario Eduardo</v>
      </c>
    </row>
    <row r="46" spans="1:7" ht="42.75">
      <c r="A46" s="3" t="s">
        <v>162</v>
      </c>
      <c r="B46" s="3" t="s">
        <v>163</v>
      </c>
      <c r="C46" s="3" t="s">
        <v>164</v>
      </c>
      <c r="D46" s="3" t="s">
        <v>165</v>
      </c>
      <c r="E46" s="3" t="s">
        <v>10</v>
      </c>
      <c r="F46" s="3" t="s">
        <v>166</v>
      </c>
      <c r="G46" t="str">
        <f>LOOKUP(MatrizDescriptores[[#This Row],[Código]],Hoja2!$A$2:$C$52)</f>
        <v>Sandoval Zapata Lorena Beatriz</v>
      </c>
    </row>
    <row r="47" spans="1:7" ht="57">
      <c r="A47" s="3" t="s">
        <v>162</v>
      </c>
      <c r="B47" s="3" t="s">
        <v>163</v>
      </c>
      <c r="C47" s="3" t="s">
        <v>167</v>
      </c>
      <c r="D47" s="3" t="s">
        <v>168</v>
      </c>
      <c r="E47" s="3" t="s">
        <v>10</v>
      </c>
      <c r="F47" s="3" t="s">
        <v>169</v>
      </c>
      <c r="G47" t="str">
        <f>LOOKUP(MatrizDescriptores[[#This Row],[Código]],Hoja2!$A$2:$C$52)</f>
        <v>Sandoval Zapata Lorena Beatriz</v>
      </c>
    </row>
    <row r="48" spans="1:7" ht="28.5">
      <c r="A48" s="3" t="s">
        <v>162</v>
      </c>
      <c r="B48" s="3" t="s">
        <v>163</v>
      </c>
      <c r="C48" s="3" t="s">
        <v>170</v>
      </c>
      <c r="D48" s="3" t="s">
        <v>171</v>
      </c>
      <c r="E48" s="3" t="s">
        <v>10</v>
      </c>
      <c r="F48" s="3" t="s">
        <v>172</v>
      </c>
      <c r="G48" t="str">
        <f>LOOKUP(MatrizDescriptores[[#This Row],[Código]],Hoja2!$A$2:$C$52)</f>
        <v>Sandoval Zapata Lorena Beatriz</v>
      </c>
    </row>
    <row r="49" spans="1:7" ht="42.75">
      <c r="A49" s="3" t="s">
        <v>173</v>
      </c>
      <c r="B49" s="3" t="s">
        <v>174</v>
      </c>
      <c r="C49" s="3" t="s">
        <v>175</v>
      </c>
      <c r="D49" s="3" t="s">
        <v>176</v>
      </c>
      <c r="E49" s="3" t="s">
        <v>132</v>
      </c>
      <c r="F49" s="3" t="s">
        <v>177</v>
      </c>
      <c r="G49" t="str">
        <f>LOOKUP(MatrizDescriptores[[#This Row],[Código]],Hoja2!$A$2:$C$52)</f>
        <v>Vidal Carrasco Pilar Gabriela</v>
      </c>
    </row>
    <row r="50" spans="1:7" ht="28.5">
      <c r="A50" s="3" t="s">
        <v>173</v>
      </c>
      <c r="B50" s="3" t="s">
        <v>174</v>
      </c>
      <c r="C50" s="3" t="s">
        <v>178</v>
      </c>
      <c r="D50" s="3" t="s">
        <v>179</v>
      </c>
      <c r="E50" s="3" t="s">
        <v>132</v>
      </c>
      <c r="F50" s="3" t="s">
        <v>177</v>
      </c>
      <c r="G50" t="str">
        <f>LOOKUP(MatrizDescriptores[[#This Row],[Código]],Hoja2!$A$2:$C$52)</f>
        <v>Vidal Carrasco Pilar Gabriela</v>
      </c>
    </row>
    <row r="51" spans="1:7" ht="42.75">
      <c r="A51" s="3" t="s">
        <v>173</v>
      </c>
      <c r="B51" s="3" t="s">
        <v>174</v>
      </c>
      <c r="C51" s="3" t="s">
        <v>180</v>
      </c>
      <c r="D51" s="3" t="s">
        <v>181</v>
      </c>
      <c r="E51" s="3" t="s">
        <v>132</v>
      </c>
      <c r="F51" s="3" t="s">
        <v>177</v>
      </c>
      <c r="G51" t="str">
        <f>LOOKUP(MatrizDescriptores[[#This Row],[Código]],Hoja2!$A$2:$C$52)</f>
        <v>Vidal Carrasco Pilar Gabriela</v>
      </c>
    </row>
    <row r="52" spans="1:7" ht="42.75">
      <c r="A52" s="3" t="s">
        <v>173</v>
      </c>
      <c r="B52" s="3" t="s">
        <v>174</v>
      </c>
      <c r="C52" s="3" t="s">
        <v>160</v>
      </c>
      <c r="D52" s="3" t="s">
        <v>182</v>
      </c>
      <c r="E52" s="3" t="s">
        <v>132</v>
      </c>
      <c r="F52" s="3" t="s">
        <v>177</v>
      </c>
      <c r="G52" t="str">
        <f>LOOKUP(MatrizDescriptores[[#This Row],[Código]],Hoja2!$A$2:$C$52)</f>
        <v>Vidal Carrasco Pilar Gabriela</v>
      </c>
    </row>
    <row r="53" spans="1:7" ht="42.75">
      <c r="A53" s="3" t="s">
        <v>183</v>
      </c>
      <c r="B53" s="3" t="s">
        <v>184</v>
      </c>
      <c r="C53" s="3" t="s">
        <v>185</v>
      </c>
      <c r="D53" s="3" t="s">
        <v>186</v>
      </c>
      <c r="E53" s="3" t="s">
        <v>10</v>
      </c>
      <c r="F53" s="3" t="s">
        <v>187</v>
      </c>
      <c r="G53" t="str">
        <f>LOOKUP(MatrizDescriptores[[#This Row],[Código]],Hoja2!$A$2:$C$52)</f>
        <v>Cruces Soto Sonia Margoth</v>
      </c>
    </row>
    <row r="54" spans="1:7" ht="57">
      <c r="A54" s="3" t="s">
        <v>183</v>
      </c>
      <c r="B54" s="3" t="s">
        <v>184</v>
      </c>
      <c r="C54" s="3" t="s">
        <v>188</v>
      </c>
      <c r="D54" s="3" t="s">
        <v>189</v>
      </c>
      <c r="E54" s="3" t="s">
        <v>10</v>
      </c>
      <c r="F54" s="3" t="s">
        <v>190</v>
      </c>
      <c r="G54" t="str">
        <f>LOOKUP(MatrizDescriptores[[#This Row],[Código]],Hoja2!$A$2:$C$52)</f>
        <v>Cruces Soto Sonia Margoth</v>
      </c>
    </row>
    <row r="55" spans="1:7" ht="57">
      <c r="A55" s="3" t="s">
        <v>183</v>
      </c>
      <c r="B55" s="3" t="s">
        <v>184</v>
      </c>
      <c r="C55" s="3" t="s">
        <v>191</v>
      </c>
      <c r="D55" s="3" t="s">
        <v>192</v>
      </c>
      <c r="E55" s="3" t="s">
        <v>10</v>
      </c>
      <c r="F55" s="3" t="s">
        <v>193</v>
      </c>
      <c r="G55" t="str">
        <f>LOOKUP(MatrizDescriptores[[#This Row],[Código]],Hoja2!$A$2:$C$52)</f>
        <v>Cruces Soto Sonia Margoth</v>
      </c>
    </row>
    <row r="56" spans="1:7" ht="57">
      <c r="A56" s="3" t="s">
        <v>194</v>
      </c>
      <c r="B56" s="3" t="s">
        <v>195</v>
      </c>
      <c r="C56" s="3" t="s">
        <v>196</v>
      </c>
      <c r="D56" s="3" t="s">
        <v>197</v>
      </c>
      <c r="E56" s="3" t="s">
        <v>132</v>
      </c>
      <c r="F56" s="3" t="s">
        <v>133</v>
      </c>
      <c r="G56" t="str">
        <f>LOOKUP(MatrizDescriptores[[#This Row],[Código]],Hoja2!$A$2:$C$52)</f>
        <v>Cifuentes Barrientos Carlos Alfredo</v>
      </c>
    </row>
    <row r="57" spans="1:7" ht="42.75">
      <c r="A57" s="3" t="s">
        <v>194</v>
      </c>
      <c r="B57" s="3" t="s">
        <v>195</v>
      </c>
      <c r="C57" s="3" t="s">
        <v>198</v>
      </c>
      <c r="D57" s="3" t="s">
        <v>199</v>
      </c>
      <c r="E57" s="3" t="s">
        <v>132</v>
      </c>
      <c r="F57" s="3" t="s">
        <v>133</v>
      </c>
      <c r="G57" t="str">
        <f>LOOKUP(MatrizDescriptores[[#This Row],[Código]],Hoja2!$A$2:$C$52)</f>
        <v>Cifuentes Barrientos Carlos Alfredo</v>
      </c>
    </row>
    <row r="58" spans="1:7" ht="42.75">
      <c r="A58" s="3" t="s">
        <v>194</v>
      </c>
      <c r="B58" s="3" t="s">
        <v>195</v>
      </c>
      <c r="C58" s="3" t="s">
        <v>200</v>
      </c>
      <c r="D58" s="3" t="s">
        <v>201</v>
      </c>
      <c r="E58" s="3" t="s">
        <v>132</v>
      </c>
      <c r="F58" s="3" t="s">
        <v>133</v>
      </c>
      <c r="G58" t="str">
        <f>LOOKUP(MatrizDescriptores[[#This Row],[Código]],Hoja2!$A$2:$C$52)</f>
        <v>Cifuentes Barrientos Carlos Alfredo</v>
      </c>
    </row>
    <row r="59" spans="1:7" ht="42.75">
      <c r="A59" s="3" t="s">
        <v>194</v>
      </c>
      <c r="B59" s="3" t="s">
        <v>195</v>
      </c>
      <c r="C59" s="3" t="s">
        <v>138</v>
      </c>
      <c r="D59" s="3" t="s">
        <v>202</v>
      </c>
      <c r="E59" s="3" t="s">
        <v>132</v>
      </c>
      <c r="F59" s="3" t="s">
        <v>133</v>
      </c>
      <c r="G59" t="str">
        <f>LOOKUP(MatrizDescriptores[[#This Row],[Código]],Hoja2!$A$2:$C$52)</f>
        <v>Cifuentes Barrientos Carlos Alfredo</v>
      </c>
    </row>
    <row r="60" spans="1:7" ht="42.75">
      <c r="A60" s="3" t="s">
        <v>203</v>
      </c>
      <c r="B60" s="3" t="s">
        <v>204</v>
      </c>
      <c r="C60" s="3" t="s">
        <v>205</v>
      </c>
      <c r="D60" s="3" t="s">
        <v>206</v>
      </c>
      <c r="E60" s="3" t="s">
        <v>10</v>
      </c>
      <c r="F60" s="3" t="s">
        <v>207</v>
      </c>
      <c r="G60" t="str">
        <f>LOOKUP(MatrizDescriptores[[#This Row],[Código]],Hoja2!$A$2:$C$52)</f>
        <v>Gutiérrez Vásquez Luis Anibal</v>
      </c>
    </row>
    <row r="61" spans="1:7" ht="57">
      <c r="A61" s="3" t="s">
        <v>203</v>
      </c>
      <c r="B61" s="3" t="s">
        <v>204</v>
      </c>
      <c r="C61" s="3" t="s">
        <v>208</v>
      </c>
      <c r="D61" s="3" t="s">
        <v>209</v>
      </c>
      <c r="E61" s="3" t="s">
        <v>10</v>
      </c>
      <c r="F61" s="3" t="s">
        <v>210</v>
      </c>
      <c r="G61" t="str">
        <f>LOOKUP(MatrizDescriptores[[#This Row],[Código]],Hoja2!$A$2:$C$52)</f>
        <v>Gutiérrez Vásquez Luis Anibal</v>
      </c>
    </row>
    <row r="62" spans="1:7" ht="42.75">
      <c r="A62" s="3" t="s">
        <v>211</v>
      </c>
      <c r="B62" s="3" t="s">
        <v>212</v>
      </c>
      <c r="C62" s="3" t="s">
        <v>213</v>
      </c>
      <c r="D62" s="3" t="s">
        <v>214</v>
      </c>
      <c r="E62" s="3" t="s">
        <v>10</v>
      </c>
      <c r="F62" s="3" t="s">
        <v>215</v>
      </c>
      <c r="G62" t="str">
        <f>LOOKUP(MatrizDescriptores[[#This Row],[Código]],Hoja2!$A$2:$C$52)</f>
        <v>García Moscoso Richard Fabian</v>
      </c>
    </row>
    <row r="63" spans="1:7" ht="42.75">
      <c r="A63" s="3" t="s">
        <v>211</v>
      </c>
      <c r="B63" s="3" t="s">
        <v>212</v>
      </c>
      <c r="C63" s="3" t="s">
        <v>216</v>
      </c>
      <c r="D63" s="3" t="s">
        <v>217</v>
      </c>
      <c r="E63" s="3" t="s">
        <v>10</v>
      </c>
      <c r="F63" s="3" t="s">
        <v>218</v>
      </c>
      <c r="G63" t="str">
        <f>LOOKUP(MatrizDescriptores[[#This Row],[Código]],Hoja2!$A$2:$C$52)</f>
        <v>García Moscoso Richard Fabian</v>
      </c>
    </row>
    <row r="64" spans="1:7" ht="28.5">
      <c r="A64" s="3" t="s">
        <v>211</v>
      </c>
      <c r="B64" s="3" t="s">
        <v>212</v>
      </c>
      <c r="C64" s="3" t="s">
        <v>219</v>
      </c>
      <c r="D64" s="3" t="s">
        <v>220</v>
      </c>
      <c r="E64" s="3" t="s">
        <v>10</v>
      </c>
      <c r="F64" s="3" t="s">
        <v>221</v>
      </c>
      <c r="G64" t="str">
        <f>LOOKUP(MatrizDescriptores[[#This Row],[Código]],Hoja2!$A$2:$C$52)</f>
        <v>García Moscoso Richard Fabian</v>
      </c>
    </row>
    <row r="65" spans="1:7" ht="57">
      <c r="A65" s="3" t="s">
        <v>222</v>
      </c>
      <c r="B65" s="3" t="s">
        <v>223</v>
      </c>
      <c r="C65" s="3" t="s">
        <v>224</v>
      </c>
      <c r="D65" s="3" t="s">
        <v>225</v>
      </c>
      <c r="E65" s="3" t="s">
        <v>10</v>
      </c>
      <c r="F65" s="3" t="s">
        <v>226</v>
      </c>
      <c r="G65" t="str">
        <f>LOOKUP(MatrizDescriptores[[#This Row],[Código]],Hoja2!$A$2:$C$52)</f>
        <v>Vidal Carrasco Pilar Gabriela</v>
      </c>
    </row>
    <row r="66" spans="1:7" ht="42.75">
      <c r="A66" s="3" t="s">
        <v>222</v>
      </c>
      <c r="B66" s="3" t="s">
        <v>223</v>
      </c>
      <c r="C66" s="3" t="s">
        <v>227</v>
      </c>
      <c r="D66" s="3" t="s">
        <v>228</v>
      </c>
      <c r="E66" s="3" t="s">
        <v>10</v>
      </c>
      <c r="F66" s="3" t="s">
        <v>229</v>
      </c>
      <c r="G66" t="str">
        <f>LOOKUP(MatrizDescriptores[[#This Row],[Código]],Hoja2!$A$2:$C$52)</f>
        <v>Vidal Carrasco Pilar Gabriela</v>
      </c>
    </row>
    <row r="67" spans="1:7" ht="42.75">
      <c r="A67" s="3" t="s">
        <v>222</v>
      </c>
      <c r="B67" s="3" t="s">
        <v>223</v>
      </c>
      <c r="C67" s="3" t="s">
        <v>230</v>
      </c>
      <c r="D67" s="3" t="s">
        <v>231</v>
      </c>
      <c r="E67" s="3" t="s">
        <v>10</v>
      </c>
      <c r="F67" s="3" t="s">
        <v>232</v>
      </c>
      <c r="G67" t="str">
        <f>LOOKUP(MatrizDescriptores[[#This Row],[Código]],Hoja2!$A$2:$C$52)</f>
        <v>Vidal Carrasco Pilar Gabriela</v>
      </c>
    </row>
    <row r="68" spans="1:7" ht="42.75">
      <c r="A68" s="3" t="s">
        <v>222</v>
      </c>
      <c r="B68" s="3" t="s">
        <v>223</v>
      </c>
      <c r="C68" s="3" t="s">
        <v>233</v>
      </c>
      <c r="D68" s="3" t="s">
        <v>234</v>
      </c>
      <c r="E68" s="3" t="s">
        <v>58</v>
      </c>
      <c r="F68" s="3" t="s">
        <v>59</v>
      </c>
      <c r="G68" t="str">
        <f>LOOKUP(MatrizDescriptores[[#This Row],[Código]],Hoja2!$A$2:$C$52)</f>
        <v>Vidal Carrasco Pilar Gabriela</v>
      </c>
    </row>
    <row r="69" spans="1:7" ht="57">
      <c r="A69" s="3" t="s">
        <v>235</v>
      </c>
      <c r="B69" s="3" t="s">
        <v>236</v>
      </c>
      <c r="C69" s="3" t="s">
        <v>237</v>
      </c>
      <c r="D69" s="3" t="s">
        <v>238</v>
      </c>
      <c r="E69" s="3" t="s">
        <v>10</v>
      </c>
      <c r="F69" s="3" t="s">
        <v>239</v>
      </c>
      <c r="G69" t="str">
        <f>LOOKUP(MatrizDescriptores[[#This Row],[Código]],Hoja2!$A$2:$C$52)</f>
        <v>Cifuentes Barrientos Carlos Alfredo</v>
      </c>
    </row>
    <row r="70" spans="1:7" ht="57">
      <c r="A70" s="3" t="s">
        <v>235</v>
      </c>
      <c r="B70" s="3" t="s">
        <v>236</v>
      </c>
      <c r="C70" s="3" t="s">
        <v>240</v>
      </c>
      <c r="D70" s="3" t="s">
        <v>241</v>
      </c>
      <c r="E70" s="3" t="s">
        <v>10</v>
      </c>
      <c r="F70" s="3" t="s">
        <v>242</v>
      </c>
      <c r="G70" t="str">
        <f>LOOKUP(MatrizDescriptores[[#This Row],[Código]],Hoja2!$A$2:$C$52)</f>
        <v>Cifuentes Barrientos Carlos Alfredo</v>
      </c>
    </row>
    <row r="71" spans="1:7" ht="42.75">
      <c r="A71" s="3" t="s">
        <v>235</v>
      </c>
      <c r="B71" s="3" t="s">
        <v>236</v>
      </c>
      <c r="C71" s="3" t="s">
        <v>243</v>
      </c>
      <c r="D71" s="3" t="s">
        <v>244</v>
      </c>
      <c r="E71" s="3" t="s">
        <v>10</v>
      </c>
      <c r="F71" s="3" t="s">
        <v>245</v>
      </c>
      <c r="G71" t="str">
        <f>LOOKUP(MatrizDescriptores[[#This Row],[Código]],Hoja2!$A$2:$C$52)</f>
        <v>Cifuentes Barrientos Carlos Alfredo</v>
      </c>
    </row>
    <row r="72" spans="1:7" ht="71.25">
      <c r="A72" s="3" t="s">
        <v>246</v>
      </c>
      <c r="B72" s="3" t="s">
        <v>247</v>
      </c>
      <c r="C72" s="3" t="s">
        <v>248</v>
      </c>
      <c r="D72" s="3" t="s">
        <v>249</v>
      </c>
      <c r="E72" s="3" t="s">
        <v>132</v>
      </c>
      <c r="F72" s="3" t="s">
        <v>177</v>
      </c>
      <c r="G72" t="str">
        <f>LOOKUP(MatrizDescriptores[[#This Row],[Código]],Hoja2!$A$2:$C$52)</f>
        <v>Sandoval Zapata Lorena Beatriz</v>
      </c>
    </row>
    <row r="73" spans="1:7" ht="85.5">
      <c r="A73" s="3" t="s">
        <v>246</v>
      </c>
      <c r="B73" s="3" t="s">
        <v>247</v>
      </c>
      <c r="C73" s="3" t="s">
        <v>250</v>
      </c>
      <c r="D73" s="3" t="s">
        <v>251</v>
      </c>
      <c r="E73" s="3" t="s">
        <v>132</v>
      </c>
      <c r="F73" s="3" t="s">
        <v>177</v>
      </c>
      <c r="G73" t="str">
        <f>LOOKUP(MatrizDescriptores[[#This Row],[Código]],Hoja2!$A$2:$C$52)</f>
        <v>Sandoval Zapata Lorena Beatriz</v>
      </c>
    </row>
    <row r="74" spans="1:7" ht="85.5">
      <c r="A74" s="3" t="s">
        <v>246</v>
      </c>
      <c r="B74" s="3" t="s">
        <v>247</v>
      </c>
      <c r="C74" s="3" t="s">
        <v>252</v>
      </c>
      <c r="D74" s="3" t="s">
        <v>253</v>
      </c>
      <c r="E74" s="3" t="s">
        <v>132</v>
      </c>
      <c r="F74" s="3" t="s">
        <v>177</v>
      </c>
      <c r="G74" t="str">
        <f>LOOKUP(MatrizDescriptores[[#This Row],[Código]],Hoja2!$A$2:$C$52)</f>
        <v>Sandoval Zapata Lorena Beatriz</v>
      </c>
    </row>
    <row r="75" spans="1:7" ht="71.25">
      <c r="A75" s="3" t="s">
        <v>246</v>
      </c>
      <c r="B75" s="3" t="s">
        <v>247</v>
      </c>
      <c r="C75" s="3" t="s">
        <v>254</v>
      </c>
      <c r="D75" s="3" t="s">
        <v>255</v>
      </c>
      <c r="E75" s="3" t="s">
        <v>132</v>
      </c>
      <c r="F75" s="3" t="s">
        <v>177</v>
      </c>
      <c r="G75" t="str">
        <f>LOOKUP(MatrizDescriptores[[#This Row],[Código]],Hoja2!$A$2:$C$52)</f>
        <v>Sandoval Zapata Lorena Beatriz</v>
      </c>
    </row>
    <row r="76" spans="1:7" ht="71.25">
      <c r="A76" s="3" t="s">
        <v>256</v>
      </c>
      <c r="B76" s="3" t="s">
        <v>257</v>
      </c>
      <c r="C76" s="3" t="s">
        <v>258</v>
      </c>
      <c r="D76" s="3" t="s">
        <v>259</v>
      </c>
      <c r="E76" s="3" t="s">
        <v>132</v>
      </c>
      <c r="F76" s="3" t="s">
        <v>133</v>
      </c>
      <c r="G76" t="str">
        <f>LOOKUP(MatrizDescriptores[[#This Row],[Código]],Hoja2!$A$2:$C$52)</f>
        <v>Pezoa Sepúlveda Yerka Eugenia</v>
      </c>
    </row>
    <row r="77" spans="1:7" ht="57">
      <c r="A77" s="3" t="s">
        <v>256</v>
      </c>
      <c r="B77" s="3" t="s">
        <v>257</v>
      </c>
      <c r="C77" s="3" t="s">
        <v>260</v>
      </c>
      <c r="D77" s="3" t="s">
        <v>261</v>
      </c>
      <c r="E77" s="3" t="s">
        <v>132</v>
      </c>
      <c r="F77" s="3" t="s">
        <v>133</v>
      </c>
      <c r="G77" t="str">
        <f>LOOKUP(MatrizDescriptores[[#This Row],[Código]],Hoja2!$A$2:$C$52)</f>
        <v>Pezoa Sepúlveda Yerka Eugenia</v>
      </c>
    </row>
    <row r="78" spans="1:7" ht="57">
      <c r="A78" s="3" t="s">
        <v>256</v>
      </c>
      <c r="B78" s="3" t="s">
        <v>257</v>
      </c>
      <c r="C78" s="3" t="s">
        <v>262</v>
      </c>
      <c r="D78" s="3" t="s">
        <v>263</v>
      </c>
      <c r="E78" s="3" t="s">
        <v>132</v>
      </c>
      <c r="F78" s="3" t="s">
        <v>133</v>
      </c>
      <c r="G78" t="str">
        <f>LOOKUP(MatrizDescriptores[[#This Row],[Código]],Hoja2!$A$2:$C$52)</f>
        <v>Pezoa Sepúlveda Yerka Eugenia</v>
      </c>
    </row>
    <row r="79" spans="1:7" ht="42.75">
      <c r="A79" s="3" t="s">
        <v>256</v>
      </c>
      <c r="B79" s="3" t="s">
        <v>257</v>
      </c>
      <c r="C79" s="3" t="s">
        <v>264</v>
      </c>
      <c r="D79" s="3" t="s">
        <v>265</v>
      </c>
      <c r="E79" s="3" t="s">
        <v>132</v>
      </c>
      <c r="F79" s="3" t="s">
        <v>133</v>
      </c>
      <c r="G79" t="str">
        <f>LOOKUP(MatrizDescriptores[[#This Row],[Código]],Hoja2!$A$2:$C$52)</f>
        <v>Pezoa Sepúlveda Yerka Eugenia</v>
      </c>
    </row>
    <row r="80" spans="1:7" ht="42.75">
      <c r="A80" s="3" t="s">
        <v>266</v>
      </c>
      <c r="B80" s="3" t="s">
        <v>267</v>
      </c>
      <c r="C80" s="3" t="s">
        <v>268</v>
      </c>
      <c r="D80" s="3" t="s">
        <v>269</v>
      </c>
      <c r="E80" s="3" t="s">
        <v>10</v>
      </c>
      <c r="F80" s="3" t="s">
        <v>270</v>
      </c>
      <c r="G80" t="str">
        <f>LOOKUP(MatrizDescriptores[[#This Row],[Código]],Hoja2!$A$2:$C$52)</f>
        <v>Vallejos Catrilao Gonzalo Hernán</v>
      </c>
    </row>
    <row r="81" spans="1:7" ht="57">
      <c r="A81" s="3" t="s">
        <v>266</v>
      </c>
      <c r="B81" s="3" t="s">
        <v>267</v>
      </c>
      <c r="C81" s="3" t="s">
        <v>271</v>
      </c>
      <c r="D81" s="3" t="s">
        <v>272</v>
      </c>
      <c r="E81" s="3" t="s">
        <v>10</v>
      </c>
      <c r="F81" s="3" t="s">
        <v>273</v>
      </c>
      <c r="G81" t="str">
        <f>LOOKUP(MatrizDescriptores[[#This Row],[Código]],Hoja2!$A$2:$C$52)</f>
        <v>Vallejos Catrilao Gonzalo Hernán</v>
      </c>
    </row>
    <row r="82" spans="1:7" ht="42.75">
      <c r="A82" s="3" t="s">
        <v>266</v>
      </c>
      <c r="B82" s="3" t="s">
        <v>267</v>
      </c>
      <c r="C82" s="3" t="s">
        <v>274</v>
      </c>
      <c r="D82" s="3" t="s">
        <v>275</v>
      </c>
      <c r="E82" s="3" t="s">
        <v>10</v>
      </c>
      <c r="F82" s="3" t="s">
        <v>276</v>
      </c>
      <c r="G82" t="str">
        <f>LOOKUP(MatrizDescriptores[[#This Row],[Código]],Hoja2!$A$2:$C$52)</f>
        <v>Vallejos Catrilao Gonzalo Hernán</v>
      </c>
    </row>
    <row r="83" spans="1:7" ht="71.25">
      <c r="A83" s="3" t="s">
        <v>277</v>
      </c>
      <c r="B83" s="3" t="s">
        <v>278</v>
      </c>
      <c r="C83" s="3" t="s">
        <v>279</v>
      </c>
      <c r="D83" s="3" t="s">
        <v>280</v>
      </c>
      <c r="E83" s="3" t="s">
        <v>10</v>
      </c>
      <c r="F83" s="3" t="s">
        <v>281</v>
      </c>
      <c r="G83" t="str">
        <f>LOOKUP(MatrizDescriptores[[#This Row],[Código]],Hoja2!$A$2:$C$52)</f>
        <v>Acevedo Aguayo Mario Eduardo</v>
      </c>
    </row>
    <row r="84" spans="1:7" ht="57">
      <c r="A84" s="3" t="s">
        <v>277</v>
      </c>
      <c r="B84" s="3" t="s">
        <v>278</v>
      </c>
      <c r="C84" s="3" t="s">
        <v>282</v>
      </c>
      <c r="D84" s="3" t="s">
        <v>283</v>
      </c>
      <c r="E84" s="3" t="s">
        <v>10</v>
      </c>
      <c r="F84" s="3" t="s">
        <v>284</v>
      </c>
      <c r="G84" t="str">
        <f>LOOKUP(MatrizDescriptores[[#This Row],[Código]],Hoja2!$A$2:$C$52)</f>
        <v>Acevedo Aguayo Mario Eduardo</v>
      </c>
    </row>
    <row r="85" spans="1:7" ht="71.25">
      <c r="A85" s="3" t="s">
        <v>277</v>
      </c>
      <c r="B85" s="3" t="s">
        <v>278</v>
      </c>
      <c r="C85" s="3" t="s">
        <v>285</v>
      </c>
      <c r="D85" s="3" t="s">
        <v>286</v>
      </c>
      <c r="E85" s="3" t="s">
        <v>10</v>
      </c>
      <c r="F85" s="3" t="s">
        <v>287</v>
      </c>
      <c r="G85" t="str">
        <f>LOOKUP(MatrizDescriptores[[#This Row],[Código]],Hoja2!$A$2:$C$52)</f>
        <v>Acevedo Aguayo Mario Eduardo</v>
      </c>
    </row>
    <row r="86" spans="1:7" ht="57">
      <c r="A86" s="3" t="s">
        <v>288</v>
      </c>
      <c r="B86" s="3" t="s">
        <v>289</v>
      </c>
      <c r="C86" s="3" t="s">
        <v>290</v>
      </c>
      <c r="D86" s="3" t="s">
        <v>291</v>
      </c>
      <c r="E86" s="3" t="s">
        <v>132</v>
      </c>
      <c r="F86" s="3" t="s">
        <v>133</v>
      </c>
      <c r="G86" t="str">
        <f>LOOKUP(MatrizDescriptores[[#This Row],[Código]],Hoja2!$A$2:$C$52)</f>
        <v>Acevedo Aguayo Mario Eduardo</v>
      </c>
    </row>
    <row r="87" spans="1:7" ht="85.5">
      <c r="A87" s="3" t="s">
        <v>288</v>
      </c>
      <c r="B87" s="3" t="s">
        <v>289</v>
      </c>
      <c r="C87" s="3" t="s">
        <v>292</v>
      </c>
      <c r="D87" s="3" t="s">
        <v>293</v>
      </c>
      <c r="E87" s="3" t="s">
        <v>132</v>
      </c>
      <c r="F87" s="3" t="s">
        <v>133</v>
      </c>
      <c r="G87" t="str">
        <f>LOOKUP(MatrizDescriptores[[#This Row],[Código]],Hoja2!$A$2:$C$52)</f>
        <v>Acevedo Aguayo Mario Eduardo</v>
      </c>
    </row>
    <row r="88" spans="1:7" ht="57">
      <c r="A88" s="3" t="s">
        <v>288</v>
      </c>
      <c r="B88" s="3" t="s">
        <v>289</v>
      </c>
      <c r="C88" s="3" t="s">
        <v>294</v>
      </c>
      <c r="D88" s="3" t="s">
        <v>295</v>
      </c>
      <c r="E88" s="3" t="s">
        <v>132</v>
      </c>
      <c r="F88" s="3" t="s">
        <v>133</v>
      </c>
      <c r="G88" t="str">
        <f>LOOKUP(MatrizDescriptores[[#This Row],[Código]],Hoja2!$A$2:$C$52)</f>
        <v>Acevedo Aguayo Mario Eduardo</v>
      </c>
    </row>
    <row r="89" spans="1:7" ht="85.5">
      <c r="A89" s="3" t="s">
        <v>288</v>
      </c>
      <c r="B89" s="3" t="s">
        <v>289</v>
      </c>
      <c r="C89" s="3" t="s">
        <v>138</v>
      </c>
      <c r="D89" s="3" t="s">
        <v>296</v>
      </c>
      <c r="E89" s="3" t="s">
        <v>132</v>
      </c>
      <c r="F89" s="3" t="s">
        <v>133</v>
      </c>
      <c r="G89" t="str">
        <f>LOOKUP(MatrizDescriptores[[#This Row],[Código]],Hoja2!$A$2:$C$52)</f>
        <v>Acevedo Aguayo Mario Eduardo</v>
      </c>
    </row>
    <row r="90" spans="1:7" ht="57">
      <c r="A90" s="3" t="s">
        <v>297</v>
      </c>
      <c r="B90" s="3" t="s">
        <v>298</v>
      </c>
      <c r="C90" s="3" t="s">
        <v>299</v>
      </c>
      <c r="D90" s="3" t="s">
        <v>300</v>
      </c>
      <c r="E90" s="3" t="s">
        <v>10</v>
      </c>
      <c r="F90" s="3" t="s">
        <v>301</v>
      </c>
      <c r="G90" t="str">
        <f>LOOKUP(MatrizDescriptores[[#This Row],[Código]],Hoja2!$A$2:$C$52)</f>
        <v>Sandoval Zapata Lorena Beatriz</v>
      </c>
    </row>
    <row r="91" spans="1:7" ht="42.75">
      <c r="A91" s="3" t="s">
        <v>297</v>
      </c>
      <c r="B91" s="3" t="s">
        <v>298</v>
      </c>
      <c r="C91" s="3" t="s">
        <v>302</v>
      </c>
      <c r="D91" s="3" t="s">
        <v>303</v>
      </c>
      <c r="E91" s="3" t="s">
        <v>10</v>
      </c>
      <c r="F91" s="3" t="s">
        <v>304</v>
      </c>
      <c r="G91" t="str">
        <f>LOOKUP(MatrizDescriptores[[#This Row],[Código]],Hoja2!$A$2:$C$52)</f>
        <v>Sandoval Zapata Lorena Beatriz</v>
      </c>
    </row>
    <row r="92" spans="1:7" ht="42.75">
      <c r="A92" s="3" t="s">
        <v>297</v>
      </c>
      <c r="B92" s="3" t="s">
        <v>298</v>
      </c>
      <c r="C92" s="3" t="s">
        <v>305</v>
      </c>
      <c r="D92" s="3" t="s">
        <v>306</v>
      </c>
      <c r="E92" s="3" t="s">
        <v>10</v>
      </c>
      <c r="F92" s="3" t="s">
        <v>307</v>
      </c>
      <c r="G92" t="str">
        <f>LOOKUP(MatrizDescriptores[[#This Row],[Código]],Hoja2!$A$2:$C$52)</f>
        <v>Sandoval Zapata Lorena Beatriz</v>
      </c>
    </row>
    <row r="93" spans="1:7" ht="42.75">
      <c r="A93" s="3" t="s">
        <v>308</v>
      </c>
      <c r="B93" s="3" t="s">
        <v>309</v>
      </c>
      <c r="C93" s="3" t="s">
        <v>310</v>
      </c>
      <c r="D93" s="3" t="s">
        <v>311</v>
      </c>
      <c r="E93" s="3" t="s">
        <v>10</v>
      </c>
      <c r="F93" s="3" t="s">
        <v>312</v>
      </c>
      <c r="G93" t="str">
        <f>LOOKUP(MatrizDescriptores[[#This Row],[Código]],Hoja2!$A$2:$C$52)</f>
        <v>Vallejos Catrilao Gonzalo Hernán</v>
      </c>
    </row>
    <row r="94" spans="1:7" ht="42.75">
      <c r="A94" s="3" t="s">
        <v>308</v>
      </c>
      <c r="B94" s="3" t="s">
        <v>309</v>
      </c>
      <c r="C94" s="3" t="s">
        <v>313</v>
      </c>
      <c r="D94" s="3" t="s">
        <v>314</v>
      </c>
      <c r="E94" s="3" t="s">
        <v>10</v>
      </c>
      <c r="F94" s="3" t="s">
        <v>315</v>
      </c>
      <c r="G94" t="str">
        <f>LOOKUP(MatrizDescriptores[[#This Row],[Código]],Hoja2!$A$2:$C$52)</f>
        <v>Vallejos Catrilao Gonzalo Hernán</v>
      </c>
    </row>
    <row r="95" spans="1:7" ht="57">
      <c r="A95" s="3" t="s">
        <v>308</v>
      </c>
      <c r="B95" s="3" t="s">
        <v>309</v>
      </c>
      <c r="C95" s="3" t="s">
        <v>316</v>
      </c>
      <c r="D95" s="3" t="s">
        <v>317</v>
      </c>
      <c r="E95" s="3" t="s">
        <v>10</v>
      </c>
      <c r="F95" s="3" t="s">
        <v>318</v>
      </c>
      <c r="G95" t="str">
        <f>LOOKUP(MatrizDescriptores[[#This Row],[Código]],Hoja2!$A$2:$C$52)</f>
        <v>Vallejos Catrilao Gonzalo Hernán</v>
      </c>
    </row>
    <row r="96" spans="1:7" ht="42.75">
      <c r="A96" s="3" t="s">
        <v>319</v>
      </c>
      <c r="B96" s="3" t="s">
        <v>320</v>
      </c>
      <c r="C96" s="3" t="s">
        <v>321</v>
      </c>
      <c r="D96" s="3" t="s">
        <v>322</v>
      </c>
      <c r="E96" s="3" t="s">
        <v>132</v>
      </c>
      <c r="F96" s="3" t="s">
        <v>323</v>
      </c>
      <c r="G96" t="str">
        <f>LOOKUP(MatrizDescriptores[[#This Row],[Código]],Hoja2!$A$2:$C$52)</f>
        <v>Acevedo Aguayo Mario Eduardo</v>
      </c>
    </row>
    <row r="97" spans="1:7" ht="42.75">
      <c r="A97" s="3" t="s">
        <v>319</v>
      </c>
      <c r="B97" s="3" t="s">
        <v>320</v>
      </c>
      <c r="C97" s="3" t="s">
        <v>324</v>
      </c>
      <c r="D97" s="3" t="s">
        <v>325</v>
      </c>
      <c r="E97" s="3" t="s">
        <v>132</v>
      </c>
      <c r="F97" s="3" t="s">
        <v>323</v>
      </c>
      <c r="G97" t="str">
        <f>LOOKUP(MatrizDescriptores[[#This Row],[Código]],Hoja2!$A$2:$C$52)</f>
        <v>Acevedo Aguayo Mario Eduardo</v>
      </c>
    </row>
    <row r="98" spans="1:7" ht="57">
      <c r="A98" s="3" t="s">
        <v>319</v>
      </c>
      <c r="B98" s="3" t="s">
        <v>320</v>
      </c>
      <c r="C98" s="3" t="s">
        <v>326</v>
      </c>
      <c r="D98" s="3" t="s">
        <v>327</v>
      </c>
      <c r="E98" s="3" t="s">
        <v>132</v>
      </c>
      <c r="F98" s="3" t="s">
        <v>323</v>
      </c>
      <c r="G98" t="str">
        <f>LOOKUP(MatrizDescriptores[[#This Row],[Código]],Hoja2!$A$2:$C$52)</f>
        <v>Acevedo Aguayo Mario Eduardo</v>
      </c>
    </row>
    <row r="99" spans="1:7" ht="42.75">
      <c r="A99" s="3" t="s">
        <v>319</v>
      </c>
      <c r="B99" s="3" t="s">
        <v>320</v>
      </c>
      <c r="C99" s="3" t="s">
        <v>160</v>
      </c>
      <c r="D99" s="3" t="s">
        <v>328</v>
      </c>
      <c r="E99" s="3" t="s">
        <v>132</v>
      </c>
      <c r="F99" s="3" t="s">
        <v>323</v>
      </c>
      <c r="G99" t="str">
        <f>LOOKUP(MatrizDescriptores[[#This Row],[Código]],Hoja2!$A$2:$C$52)</f>
        <v>Acevedo Aguayo Mario Eduardo</v>
      </c>
    </row>
  </sheetData>
  <conditionalFormatting sqref="E2:E99">
    <cfRule type="expression" dxfId="2" priority="1">
      <formula>E2="Sí"</formula>
    </cfRule>
    <cfRule type="expression" dxfId="1" priority="2">
      <formula>E2="A definir por docente"</formula>
    </cfRule>
    <cfRule type="expression" dxfId="0" priority="3">
      <formula>E2="Definida por área"</formula>
    </cfRule>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7D84B5-9294-47E9-9F85-22E89BDEC931}">
  <dimension ref="A1:D99"/>
  <sheetViews>
    <sheetView tabSelected="1" workbookViewId="0">
      <selection activeCell="D93" sqref="D93"/>
    </sheetView>
  </sheetViews>
  <sheetFormatPr baseColWidth="10" defaultRowHeight="14.25"/>
  <cols>
    <col min="1" max="1" width="12" customWidth="1"/>
    <col min="2" max="2" width="52.875" customWidth="1"/>
    <col min="3" max="3" width="12" customWidth="1"/>
    <col min="4" max="4" width="92.5" customWidth="1"/>
  </cols>
  <sheetData>
    <row r="1" spans="1:4" ht="15">
      <c r="A1" s="1" t="s">
        <v>402</v>
      </c>
      <c r="B1" s="1" t="s">
        <v>334</v>
      </c>
      <c r="C1" s="1" t="s">
        <v>1</v>
      </c>
      <c r="D1" s="1" t="s">
        <v>2</v>
      </c>
    </row>
    <row r="2" spans="1:4">
      <c r="A2" s="9">
        <v>1</v>
      </c>
      <c r="B2" s="9" t="s">
        <v>6</v>
      </c>
      <c r="C2" s="9" t="s">
        <v>7</v>
      </c>
      <c r="D2" s="10" t="s">
        <v>8</v>
      </c>
    </row>
    <row r="3" spans="1:4">
      <c r="A3" s="9" t="s">
        <v>7</v>
      </c>
      <c r="B3" s="9"/>
      <c r="C3" s="9" t="s">
        <v>7</v>
      </c>
      <c r="D3" s="10" t="s">
        <v>12</v>
      </c>
    </row>
    <row r="4" spans="1:4">
      <c r="A4" s="9" t="s">
        <v>7</v>
      </c>
      <c r="B4" s="9"/>
      <c r="C4" s="9" t="s">
        <v>7</v>
      </c>
      <c r="D4" s="10" t="s">
        <v>15</v>
      </c>
    </row>
    <row r="5" spans="1:4">
      <c r="A5" s="9">
        <v>2</v>
      </c>
      <c r="B5" s="9" t="s">
        <v>18</v>
      </c>
      <c r="C5" s="9" t="s">
        <v>19</v>
      </c>
      <c r="D5" s="10" t="s">
        <v>20</v>
      </c>
    </row>
    <row r="6" spans="1:4">
      <c r="A6" s="9" t="s">
        <v>19</v>
      </c>
      <c r="B6" s="9"/>
      <c r="C6" s="9" t="s">
        <v>19</v>
      </c>
      <c r="D6" s="10" t="s">
        <v>23</v>
      </c>
    </row>
    <row r="7" spans="1:4">
      <c r="A7" s="9" t="s">
        <v>19</v>
      </c>
      <c r="B7" s="9"/>
      <c r="C7" s="9" t="s">
        <v>19</v>
      </c>
      <c r="D7" s="10" t="s">
        <v>26</v>
      </c>
    </row>
    <row r="8" spans="1:4">
      <c r="A8" s="9">
        <v>3</v>
      </c>
      <c r="B8" s="9" t="s">
        <v>29</v>
      </c>
      <c r="C8" s="9" t="s">
        <v>30</v>
      </c>
      <c r="D8" s="10" t="s">
        <v>31</v>
      </c>
    </row>
    <row r="9" spans="1:4">
      <c r="A9" s="9" t="s">
        <v>30</v>
      </c>
      <c r="B9" s="9"/>
      <c r="C9" s="9" t="s">
        <v>30</v>
      </c>
      <c r="D9" s="10" t="s">
        <v>34</v>
      </c>
    </row>
    <row r="10" spans="1:4">
      <c r="A10" s="9">
        <v>4</v>
      </c>
      <c r="B10" s="9" t="s">
        <v>37</v>
      </c>
      <c r="C10" s="9" t="s">
        <v>38</v>
      </c>
      <c r="D10" s="10" t="s">
        <v>39</v>
      </c>
    </row>
    <row r="11" spans="1:4">
      <c r="A11" s="9" t="s">
        <v>38</v>
      </c>
      <c r="B11" s="9"/>
      <c r="C11" s="9" t="s">
        <v>38</v>
      </c>
      <c r="D11" s="10" t="s">
        <v>42</v>
      </c>
    </row>
    <row r="12" spans="1:4">
      <c r="A12" s="9" t="s">
        <v>38</v>
      </c>
      <c r="B12" s="9"/>
      <c r="C12" s="9" t="s">
        <v>38</v>
      </c>
      <c r="D12" s="10" t="s">
        <v>45</v>
      </c>
    </row>
    <row r="13" spans="1:4">
      <c r="A13" s="9">
        <v>5</v>
      </c>
      <c r="B13" s="9" t="s">
        <v>48</v>
      </c>
      <c r="C13" s="9" t="s">
        <v>49</v>
      </c>
      <c r="D13" s="10" t="s">
        <v>50</v>
      </c>
    </row>
    <row r="14" spans="1:4">
      <c r="A14" s="9" t="s">
        <v>49</v>
      </c>
      <c r="B14" s="9"/>
      <c r="C14" s="9" t="s">
        <v>49</v>
      </c>
      <c r="D14" s="10" t="s">
        <v>53</v>
      </c>
    </row>
    <row r="15" spans="1:4">
      <c r="A15" s="9" t="s">
        <v>49</v>
      </c>
      <c r="B15" s="9"/>
      <c r="C15" s="9" t="s">
        <v>49</v>
      </c>
      <c r="D15" s="10" t="s">
        <v>56</v>
      </c>
    </row>
    <row r="16" spans="1:4">
      <c r="A16" s="9">
        <v>6</v>
      </c>
      <c r="B16" s="9" t="s">
        <v>60</v>
      </c>
      <c r="C16" s="9" t="s">
        <v>61</v>
      </c>
      <c r="D16" s="10" t="s">
        <v>62</v>
      </c>
    </row>
    <row r="17" spans="1:4">
      <c r="A17" s="9" t="s">
        <v>61</v>
      </c>
      <c r="B17" s="9"/>
      <c r="C17" s="9" t="s">
        <v>61</v>
      </c>
      <c r="D17" s="10" t="s">
        <v>65</v>
      </c>
    </row>
    <row r="18" spans="1:4">
      <c r="A18" s="9" t="s">
        <v>61</v>
      </c>
      <c r="B18" s="9"/>
      <c r="C18" s="9" t="s">
        <v>61</v>
      </c>
      <c r="D18" s="10" t="s">
        <v>68</v>
      </c>
    </row>
    <row r="19" spans="1:4">
      <c r="A19" s="9">
        <v>7</v>
      </c>
      <c r="B19" s="9" t="s">
        <v>71</v>
      </c>
      <c r="C19" s="9" t="s">
        <v>72</v>
      </c>
      <c r="D19" s="10" t="s">
        <v>73</v>
      </c>
    </row>
    <row r="20" spans="1:4">
      <c r="A20" s="9" t="s">
        <v>72</v>
      </c>
      <c r="B20" s="9"/>
      <c r="C20" s="9" t="s">
        <v>72</v>
      </c>
      <c r="D20" s="10" t="s">
        <v>76</v>
      </c>
    </row>
    <row r="21" spans="1:4">
      <c r="A21" s="9" t="s">
        <v>72</v>
      </c>
      <c r="B21" s="9"/>
      <c r="C21" s="9" t="s">
        <v>72</v>
      </c>
      <c r="D21" s="10" t="s">
        <v>79</v>
      </c>
    </row>
    <row r="22" spans="1:4">
      <c r="A22" s="9" t="s">
        <v>72</v>
      </c>
      <c r="B22" s="9"/>
      <c r="C22" s="9" t="s">
        <v>72</v>
      </c>
      <c r="D22" s="10" t="s">
        <v>82</v>
      </c>
    </row>
    <row r="23" spans="1:4">
      <c r="A23" s="9">
        <v>8</v>
      </c>
      <c r="B23" s="9" t="s">
        <v>85</v>
      </c>
      <c r="C23" s="9" t="s">
        <v>86</v>
      </c>
      <c r="D23" s="10" t="s">
        <v>87</v>
      </c>
    </row>
    <row r="24" spans="1:4">
      <c r="A24" s="9" t="s">
        <v>86</v>
      </c>
      <c r="B24" s="9"/>
      <c r="C24" s="9" t="s">
        <v>86</v>
      </c>
      <c r="D24" s="10" t="s">
        <v>90</v>
      </c>
    </row>
    <row r="25" spans="1:4">
      <c r="A25" s="9" t="s">
        <v>86</v>
      </c>
      <c r="B25" s="9"/>
      <c r="C25" s="9" t="s">
        <v>86</v>
      </c>
      <c r="D25" s="10" t="s">
        <v>93</v>
      </c>
    </row>
    <row r="26" spans="1:4">
      <c r="A26" s="9">
        <v>9</v>
      </c>
      <c r="B26" s="9" t="s">
        <v>96</v>
      </c>
      <c r="C26" s="9" t="s">
        <v>97</v>
      </c>
      <c r="D26" s="10" t="s">
        <v>98</v>
      </c>
    </row>
    <row r="27" spans="1:4">
      <c r="A27" s="9" t="s">
        <v>97</v>
      </c>
      <c r="B27" s="9"/>
      <c r="C27" s="9" t="s">
        <v>97</v>
      </c>
      <c r="D27" s="10" t="s">
        <v>101</v>
      </c>
    </row>
    <row r="28" spans="1:4">
      <c r="A28" s="9" t="s">
        <v>97</v>
      </c>
      <c r="B28" s="9"/>
      <c r="C28" s="9" t="s">
        <v>97</v>
      </c>
      <c r="D28" s="10" t="s">
        <v>104</v>
      </c>
    </row>
    <row r="29" spans="1:4">
      <c r="A29" s="9">
        <v>10</v>
      </c>
      <c r="B29" s="9" t="s">
        <v>107</v>
      </c>
      <c r="C29" s="9" t="s">
        <v>108</v>
      </c>
      <c r="D29" s="10" t="s">
        <v>109</v>
      </c>
    </row>
    <row r="30" spans="1:4">
      <c r="A30" s="9" t="s">
        <v>108</v>
      </c>
      <c r="B30" s="9"/>
      <c r="C30" s="9" t="s">
        <v>108</v>
      </c>
      <c r="D30" s="10" t="s">
        <v>111</v>
      </c>
    </row>
    <row r="31" spans="1:4">
      <c r="A31" s="9" t="s">
        <v>108</v>
      </c>
      <c r="B31" s="9"/>
      <c r="C31" s="9" t="s">
        <v>108</v>
      </c>
      <c r="D31" s="10" t="s">
        <v>114</v>
      </c>
    </row>
    <row r="32" spans="1:4">
      <c r="A32" s="9">
        <v>11</v>
      </c>
      <c r="B32" s="9" t="s">
        <v>117</v>
      </c>
      <c r="C32" s="9" t="s">
        <v>118</v>
      </c>
      <c r="D32" s="10" t="s">
        <v>119</v>
      </c>
    </row>
    <row r="33" spans="1:4">
      <c r="A33" s="9" t="s">
        <v>118</v>
      </c>
      <c r="B33" s="9"/>
      <c r="C33" s="9" t="s">
        <v>118</v>
      </c>
      <c r="D33" s="10" t="s">
        <v>122</v>
      </c>
    </row>
    <row r="34" spans="1:4">
      <c r="A34" s="9" t="s">
        <v>118</v>
      </c>
      <c r="B34" s="9"/>
      <c r="C34" s="9" t="s">
        <v>118</v>
      </c>
      <c r="D34" s="10" t="s">
        <v>125</v>
      </c>
    </row>
    <row r="35" spans="1:4">
      <c r="A35" s="9">
        <v>12</v>
      </c>
      <c r="B35" s="9" t="s">
        <v>128</v>
      </c>
      <c r="C35" s="9" t="s">
        <v>129</v>
      </c>
      <c r="D35" s="10" t="s">
        <v>130</v>
      </c>
    </row>
    <row r="36" spans="1:4">
      <c r="A36" s="9" t="s">
        <v>129</v>
      </c>
      <c r="B36" s="9"/>
      <c r="C36" s="9" t="s">
        <v>129</v>
      </c>
      <c r="D36" s="10" t="s">
        <v>134</v>
      </c>
    </row>
    <row r="37" spans="1:4">
      <c r="A37" s="9" t="s">
        <v>129</v>
      </c>
      <c r="B37" s="9"/>
      <c r="C37" s="9" t="s">
        <v>129</v>
      </c>
      <c r="D37" s="10" t="s">
        <v>136</v>
      </c>
    </row>
    <row r="38" spans="1:4">
      <c r="A38" s="9" t="s">
        <v>129</v>
      </c>
      <c r="B38" s="9"/>
      <c r="C38" s="9" t="s">
        <v>129</v>
      </c>
      <c r="D38" s="10" t="s">
        <v>138</v>
      </c>
    </row>
    <row r="39" spans="1:4">
      <c r="A39" s="9">
        <v>13</v>
      </c>
      <c r="B39" s="9" t="s">
        <v>140</v>
      </c>
      <c r="C39" s="9" t="s">
        <v>141</v>
      </c>
      <c r="D39" s="10" t="s">
        <v>142</v>
      </c>
    </row>
    <row r="40" spans="1:4">
      <c r="A40" s="9" t="s">
        <v>141</v>
      </c>
      <c r="B40" s="9"/>
      <c r="C40" s="9" t="s">
        <v>141</v>
      </c>
      <c r="D40" s="10" t="s">
        <v>145</v>
      </c>
    </row>
    <row r="41" spans="1:4">
      <c r="A41" s="9" t="s">
        <v>141</v>
      </c>
      <c r="B41" s="9"/>
      <c r="C41" s="9" t="s">
        <v>141</v>
      </c>
      <c r="D41" s="10" t="s">
        <v>148</v>
      </c>
    </row>
    <row r="42" spans="1:4">
      <c r="A42" s="9">
        <v>14</v>
      </c>
      <c r="B42" s="9" t="s">
        <v>151</v>
      </c>
      <c r="C42" s="9" t="s">
        <v>152</v>
      </c>
      <c r="D42" s="10" t="s">
        <v>153</v>
      </c>
    </row>
    <row r="43" spans="1:4">
      <c r="A43" s="9" t="s">
        <v>152</v>
      </c>
      <c r="B43" s="9"/>
      <c r="C43" s="9" t="s">
        <v>152</v>
      </c>
      <c r="D43" s="10" t="s">
        <v>156</v>
      </c>
    </row>
    <row r="44" spans="1:4">
      <c r="A44" s="9" t="s">
        <v>152</v>
      </c>
      <c r="B44" s="9"/>
      <c r="C44" s="9" t="s">
        <v>152</v>
      </c>
      <c r="D44" s="10" t="s">
        <v>158</v>
      </c>
    </row>
    <row r="45" spans="1:4">
      <c r="A45" s="9" t="s">
        <v>152</v>
      </c>
      <c r="B45" s="9"/>
      <c r="C45" s="9" t="s">
        <v>152</v>
      </c>
      <c r="D45" s="10" t="s">
        <v>160</v>
      </c>
    </row>
    <row r="46" spans="1:4">
      <c r="A46" s="9">
        <v>15</v>
      </c>
      <c r="B46" s="9" t="s">
        <v>162</v>
      </c>
      <c r="C46" s="9" t="s">
        <v>163</v>
      </c>
      <c r="D46" s="10" t="s">
        <v>164</v>
      </c>
    </row>
    <row r="47" spans="1:4">
      <c r="A47" s="9" t="s">
        <v>163</v>
      </c>
      <c r="B47" s="9"/>
      <c r="C47" s="9" t="s">
        <v>163</v>
      </c>
      <c r="D47" s="10" t="s">
        <v>167</v>
      </c>
    </row>
    <row r="48" spans="1:4">
      <c r="A48" s="9" t="s">
        <v>163</v>
      </c>
      <c r="B48" s="9"/>
      <c r="C48" s="9" t="s">
        <v>163</v>
      </c>
      <c r="D48" s="10" t="s">
        <v>170</v>
      </c>
    </row>
    <row r="49" spans="1:4">
      <c r="A49" s="9">
        <v>16</v>
      </c>
      <c r="B49" s="9" t="s">
        <v>173</v>
      </c>
      <c r="C49" s="9" t="s">
        <v>174</v>
      </c>
      <c r="D49" s="10" t="s">
        <v>175</v>
      </c>
    </row>
    <row r="50" spans="1:4">
      <c r="A50" s="9" t="s">
        <v>174</v>
      </c>
      <c r="B50" s="9"/>
      <c r="C50" s="9" t="s">
        <v>174</v>
      </c>
      <c r="D50" s="10" t="s">
        <v>178</v>
      </c>
    </row>
    <row r="51" spans="1:4">
      <c r="A51" s="9" t="s">
        <v>174</v>
      </c>
      <c r="B51" s="9"/>
      <c r="C51" s="9" t="s">
        <v>174</v>
      </c>
      <c r="D51" s="10" t="s">
        <v>180</v>
      </c>
    </row>
    <row r="52" spans="1:4">
      <c r="A52" s="9" t="s">
        <v>174</v>
      </c>
      <c r="B52" s="9"/>
      <c r="C52" s="9" t="s">
        <v>174</v>
      </c>
      <c r="D52" s="10" t="s">
        <v>160</v>
      </c>
    </row>
    <row r="53" spans="1:4">
      <c r="A53" s="9">
        <v>17</v>
      </c>
      <c r="B53" s="9" t="s">
        <v>183</v>
      </c>
      <c r="C53" s="9" t="s">
        <v>184</v>
      </c>
      <c r="D53" s="10" t="s">
        <v>185</v>
      </c>
    </row>
    <row r="54" spans="1:4">
      <c r="A54" s="9" t="s">
        <v>184</v>
      </c>
      <c r="B54" s="9"/>
      <c r="C54" s="9" t="s">
        <v>184</v>
      </c>
      <c r="D54" s="10" t="s">
        <v>188</v>
      </c>
    </row>
    <row r="55" spans="1:4">
      <c r="A55" s="9" t="s">
        <v>184</v>
      </c>
      <c r="B55" s="9"/>
      <c r="C55" s="9" t="s">
        <v>184</v>
      </c>
      <c r="D55" s="10" t="s">
        <v>191</v>
      </c>
    </row>
    <row r="56" spans="1:4">
      <c r="A56" s="9">
        <v>18</v>
      </c>
      <c r="B56" s="9" t="s">
        <v>194</v>
      </c>
      <c r="C56" s="9" t="s">
        <v>195</v>
      </c>
      <c r="D56" s="10" t="s">
        <v>196</v>
      </c>
    </row>
    <row r="57" spans="1:4">
      <c r="A57" s="9" t="s">
        <v>195</v>
      </c>
      <c r="B57" s="9"/>
      <c r="C57" s="9" t="s">
        <v>195</v>
      </c>
      <c r="D57" s="10" t="s">
        <v>198</v>
      </c>
    </row>
    <row r="58" spans="1:4">
      <c r="A58" s="9" t="s">
        <v>195</v>
      </c>
      <c r="B58" s="9"/>
      <c r="C58" s="9" t="s">
        <v>195</v>
      </c>
      <c r="D58" s="10" t="s">
        <v>200</v>
      </c>
    </row>
    <row r="59" spans="1:4">
      <c r="A59" s="9" t="s">
        <v>195</v>
      </c>
      <c r="B59" s="9"/>
      <c r="C59" s="9" t="s">
        <v>195</v>
      </c>
      <c r="D59" s="10" t="s">
        <v>138</v>
      </c>
    </row>
    <row r="60" spans="1:4">
      <c r="A60" s="9">
        <v>19</v>
      </c>
      <c r="B60" s="9" t="s">
        <v>203</v>
      </c>
      <c r="C60" s="9" t="s">
        <v>204</v>
      </c>
      <c r="D60" s="10" t="s">
        <v>205</v>
      </c>
    </row>
    <row r="61" spans="1:4">
      <c r="A61" s="9" t="s">
        <v>204</v>
      </c>
      <c r="B61" s="9"/>
      <c r="C61" s="9" t="s">
        <v>204</v>
      </c>
      <c r="D61" s="10" t="s">
        <v>208</v>
      </c>
    </row>
    <row r="62" spans="1:4">
      <c r="A62" s="9">
        <v>20</v>
      </c>
      <c r="B62" s="9" t="s">
        <v>211</v>
      </c>
      <c r="C62" s="9" t="s">
        <v>212</v>
      </c>
      <c r="D62" s="10" t="s">
        <v>213</v>
      </c>
    </row>
    <row r="63" spans="1:4">
      <c r="A63" s="9" t="s">
        <v>212</v>
      </c>
      <c r="B63" s="9"/>
      <c r="C63" s="9" t="s">
        <v>212</v>
      </c>
      <c r="D63" s="10" t="s">
        <v>216</v>
      </c>
    </row>
    <row r="64" spans="1:4">
      <c r="A64" s="9" t="s">
        <v>212</v>
      </c>
      <c r="B64" s="9"/>
      <c r="C64" s="9" t="s">
        <v>212</v>
      </c>
      <c r="D64" s="10" t="s">
        <v>219</v>
      </c>
    </row>
    <row r="65" spans="1:4">
      <c r="A65" s="9">
        <v>21</v>
      </c>
      <c r="B65" s="9" t="s">
        <v>222</v>
      </c>
      <c r="C65" s="9" t="s">
        <v>223</v>
      </c>
      <c r="D65" s="10" t="s">
        <v>224</v>
      </c>
    </row>
    <row r="66" spans="1:4">
      <c r="A66" s="9" t="s">
        <v>223</v>
      </c>
      <c r="B66" s="9"/>
      <c r="C66" s="9" t="s">
        <v>223</v>
      </c>
      <c r="D66" s="10" t="s">
        <v>227</v>
      </c>
    </row>
    <row r="67" spans="1:4">
      <c r="A67" s="9" t="s">
        <v>223</v>
      </c>
      <c r="B67" s="9"/>
      <c r="C67" s="9" t="s">
        <v>223</v>
      </c>
      <c r="D67" s="10" t="s">
        <v>230</v>
      </c>
    </row>
    <row r="68" spans="1:4">
      <c r="A68" s="9" t="s">
        <v>223</v>
      </c>
      <c r="B68" s="9"/>
      <c r="C68" s="9" t="s">
        <v>223</v>
      </c>
      <c r="D68" s="10" t="s">
        <v>233</v>
      </c>
    </row>
    <row r="69" spans="1:4">
      <c r="A69" s="9">
        <v>22</v>
      </c>
      <c r="B69" s="9" t="s">
        <v>235</v>
      </c>
      <c r="C69" s="9" t="s">
        <v>236</v>
      </c>
      <c r="D69" s="10" t="s">
        <v>237</v>
      </c>
    </row>
    <row r="70" spans="1:4">
      <c r="A70" s="9" t="s">
        <v>236</v>
      </c>
      <c r="B70" s="9"/>
      <c r="C70" s="9" t="s">
        <v>236</v>
      </c>
      <c r="D70" s="10" t="s">
        <v>240</v>
      </c>
    </row>
    <row r="71" spans="1:4">
      <c r="A71" s="9" t="s">
        <v>236</v>
      </c>
      <c r="B71" s="9"/>
      <c r="C71" s="9" t="s">
        <v>236</v>
      </c>
      <c r="D71" s="10" t="s">
        <v>243</v>
      </c>
    </row>
    <row r="72" spans="1:4">
      <c r="A72" s="9">
        <v>23</v>
      </c>
      <c r="B72" s="9" t="s">
        <v>246</v>
      </c>
      <c r="C72" s="9" t="s">
        <v>247</v>
      </c>
      <c r="D72" s="10" t="s">
        <v>248</v>
      </c>
    </row>
    <row r="73" spans="1:4">
      <c r="A73" s="9" t="s">
        <v>247</v>
      </c>
      <c r="B73" s="9"/>
      <c r="C73" s="9" t="s">
        <v>247</v>
      </c>
      <c r="D73" s="10" t="s">
        <v>250</v>
      </c>
    </row>
    <row r="74" spans="1:4">
      <c r="A74" s="9" t="s">
        <v>247</v>
      </c>
      <c r="B74" s="9"/>
      <c r="C74" s="9" t="s">
        <v>247</v>
      </c>
      <c r="D74" s="10" t="s">
        <v>252</v>
      </c>
    </row>
    <row r="75" spans="1:4">
      <c r="A75" s="9" t="s">
        <v>247</v>
      </c>
      <c r="B75" s="9"/>
      <c r="C75" s="9" t="s">
        <v>247</v>
      </c>
      <c r="D75" s="10" t="s">
        <v>254</v>
      </c>
    </row>
    <row r="76" spans="1:4">
      <c r="A76" s="9">
        <v>24</v>
      </c>
      <c r="B76" s="9" t="s">
        <v>256</v>
      </c>
      <c r="C76" s="9" t="s">
        <v>257</v>
      </c>
      <c r="D76" s="10" t="s">
        <v>258</v>
      </c>
    </row>
    <row r="77" spans="1:4">
      <c r="A77" s="9" t="s">
        <v>257</v>
      </c>
      <c r="B77" s="9"/>
      <c r="C77" s="9" t="s">
        <v>257</v>
      </c>
      <c r="D77" s="10" t="s">
        <v>260</v>
      </c>
    </row>
    <row r="78" spans="1:4">
      <c r="A78" s="9" t="s">
        <v>257</v>
      </c>
      <c r="B78" s="9"/>
      <c r="C78" s="9" t="s">
        <v>257</v>
      </c>
      <c r="D78" s="10" t="s">
        <v>262</v>
      </c>
    </row>
    <row r="79" spans="1:4">
      <c r="A79" s="9" t="s">
        <v>257</v>
      </c>
      <c r="B79" s="9"/>
      <c r="C79" s="9" t="s">
        <v>257</v>
      </c>
      <c r="D79" s="10" t="s">
        <v>264</v>
      </c>
    </row>
    <row r="80" spans="1:4">
      <c r="A80" s="9">
        <v>25</v>
      </c>
      <c r="B80" s="9" t="s">
        <v>266</v>
      </c>
      <c r="C80" s="9" t="s">
        <v>267</v>
      </c>
      <c r="D80" s="10" t="s">
        <v>268</v>
      </c>
    </row>
    <row r="81" spans="1:4">
      <c r="A81" s="9" t="s">
        <v>267</v>
      </c>
      <c r="B81" s="9"/>
      <c r="C81" s="9" t="s">
        <v>267</v>
      </c>
      <c r="D81" s="10" t="s">
        <v>271</v>
      </c>
    </row>
    <row r="82" spans="1:4">
      <c r="A82" s="9" t="s">
        <v>267</v>
      </c>
      <c r="B82" s="9"/>
      <c r="C82" s="9" t="s">
        <v>267</v>
      </c>
      <c r="D82" s="10" t="s">
        <v>274</v>
      </c>
    </row>
    <row r="83" spans="1:4">
      <c r="A83" s="9">
        <v>26</v>
      </c>
      <c r="B83" s="9" t="s">
        <v>277</v>
      </c>
      <c r="C83" s="9" t="s">
        <v>278</v>
      </c>
      <c r="D83" s="10" t="s">
        <v>279</v>
      </c>
    </row>
    <row r="84" spans="1:4">
      <c r="A84" s="9" t="s">
        <v>278</v>
      </c>
      <c r="B84" s="9"/>
      <c r="C84" s="9" t="s">
        <v>278</v>
      </c>
      <c r="D84" s="10" t="s">
        <v>282</v>
      </c>
    </row>
    <row r="85" spans="1:4">
      <c r="A85" s="9" t="s">
        <v>278</v>
      </c>
      <c r="B85" s="9"/>
      <c r="C85" s="9" t="s">
        <v>278</v>
      </c>
      <c r="D85" s="10" t="s">
        <v>285</v>
      </c>
    </row>
    <row r="86" spans="1:4">
      <c r="A86" s="9">
        <v>27</v>
      </c>
      <c r="B86" s="9" t="s">
        <v>288</v>
      </c>
      <c r="C86" s="9" t="s">
        <v>289</v>
      </c>
      <c r="D86" s="10" t="s">
        <v>290</v>
      </c>
    </row>
    <row r="87" spans="1:4">
      <c r="A87" s="9" t="s">
        <v>289</v>
      </c>
      <c r="B87" s="9"/>
      <c r="C87" s="9" t="s">
        <v>289</v>
      </c>
      <c r="D87" s="10" t="s">
        <v>292</v>
      </c>
    </row>
    <row r="88" spans="1:4">
      <c r="A88" s="9" t="s">
        <v>289</v>
      </c>
      <c r="B88" s="9"/>
      <c r="C88" s="9" t="s">
        <v>289</v>
      </c>
      <c r="D88" s="10" t="s">
        <v>294</v>
      </c>
    </row>
    <row r="89" spans="1:4">
      <c r="A89" s="9" t="s">
        <v>289</v>
      </c>
      <c r="B89" s="9"/>
      <c r="C89" s="9" t="s">
        <v>289</v>
      </c>
      <c r="D89" s="10" t="s">
        <v>138</v>
      </c>
    </row>
    <row r="90" spans="1:4">
      <c r="A90" s="9">
        <v>28</v>
      </c>
      <c r="B90" s="9" t="s">
        <v>297</v>
      </c>
      <c r="C90" s="9" t="s">
        <v>298</v>
      </c>
      <c r="D90" s="10" t="s">
        <v>299</v>
      </c>
    </row>
    <row r="91" spans="1:4">
      <c r="A91" s="9" t="s">
        <v>298</v>
      </c>
      <c r="B91" s="9"/>
      <c r="C91" s="9" t="s">
        <v>298</v>
      </c>
      <c r="D91" s="10" t="s">
        <v>302</v>
      </c>
    </row>
    <row r="92" spans="1:4">
      <c r="A92" s="9" t="s">
        <v>298</v>
      </c>
      <c r="B92" s="9"/>
      <c r="C92" s="9" t="s">
        <v>298</v>
      </c>
      <c r="D92" s="10" t="s">
        <v>305</v>
      </c>
    </row>
    <row r="93" spans="1:4">
      <c r="A93" s="9">
        <v>29</v>
      </c>
      <c r="B93" s="9" t="s">
        <v>308</v>
      </c>
      <c r="C93" s="9" t="s">
        <v>309</v>
      </c>
      <c r="D93" s="10" t="s">
        <v>310</v>
      </c>
    </row>
    <row r="94" spans="1:4">
      <c r="A94" s="9" t="s">
        <v>309</v>
      </c>
      <c r="B94" s="9"/>
      <c r="C94" s="9" t="s">
        <v>309</v>
      </c>
      <c r="D94" s="10" t="s">
        <v>313</v>
      </c>
    </row>
    <row r="95" spans="1:4">
      <c r="A95" s="9" t="s">
        <v>309</v>
      </c>
      <c r="B95" s="9"/>
      <c r="C95" s="9" t="s">
        <v>309</v>
      </c>
      <c r="D95" s="10" t="s">
        <v>316</v>
      </c>
    </row>
    <row r="96" spans="1:4">
      <c r="A96" s="9">
        <v>30</v>
      </c>
      <c r="B96" s="9" t="s">
        <v>319</v>
      </c>
      <c r="C96" s="9" t="s">
        <v>320</v>
      </c>
      <c r="D96" s="10" t="s">
        <v>321</v>
      </c>
    </row>
    <row r="97" spans="1:4">
      <c r="A97" s="9" t="s">
        <v>320</v>
      </c>
      <c r="B97" s="9"/>
      <c r="C97" s="9" t="s">
        <v>320</v>
      </c>
      <c r="D97" s="10" t="s">
        <v>324</v>
      </c>
    </row>
    <row r="98" spans="1:4">
      <c r="A98" s="9" t="s">
        <v>320</v>
      </c>
      <c r="B98" s="9"/>
      <c r="C98" s="9" t="s">
        <v>320</v>
      </c>
      <c r="D98" s="10" t="s">
        <v>326</v>
      </c>
    </row>
    <row r="99" spans="1:4">
      <c r="A99" s="9" t="s">
        <v>320</v>
      </c>
      <c r="B99" s="9"/>
      <c r="C99" s="9" t="s">
        <v>320</v>
      </c>
      <c r="D99" s="10" t="s">
        <v>160</v>
      </c>
    </row>
  </sheetData>
  <mergeCells count="90">
    <mergeCell ref="A96:A99"/>
    <mergeCell ref="A76:A79"/>
    <mergeCell ref="A80:A82"/>
    <mergeCell ref="A83:A85"/>
    <mergeCell ref="A86:A89"/>
    <mergeCell ref="A90:A92"/>
    <mergeCell ref="A93:A95"/>
    <mergeCell ref="A56:A59"/>
    <mergeCell ref="A60:A61"/>
    <mergeCell ref="A62:A64"/>
    <mergeCell ref="A65:A68"/>
    <mergeCell ref="A69:A71"/>
    <mergeCell ref="A72:A75"/>
    <mergeCell ref="A35:A38"/>
    <mergeCell ref="A39:A41"/>
    <mergeCell ref="A42:A45"/>
    <mergeCell ref="A46:A48"/>
    <mergeCell ref="A49:A52"/>
    <mergeCell ref="A53:A55"/>
    <mergeCell ref="A16:A18"/>
    <mergeCell ref="A19:A22"/>
    <mergeCell ref="A23:A25"/>
    <mergeCell ref="A26:A28"/>
    <mergeCell ref="A29:A31"/>
    <mergeCell ref="A32:A34"/>
    <mergeCell ref="A2:A4"/>
    <mergeCell ref="A5:A7"/>
    <mergeCell ref="A8:A9"/>
    <mergeCell ref="A10:A12"/>
    <mergeCell ref="A13:A15"/>
    <mergeCell ref="C90:C92"/>
    <mergeCell ref="C93:C95"/>
    <mergeCell ref="C96:C99"/>
    <mergeCell ref="C69:C71"/>
    <mergeCell ref="C72:C75"/>
    <mergeCell ref="C76:C79"/>
    <mergeCell ref="C80:C82"/>
    <mergeCell ref="C83:C85"/>
    <mergeCell ref="C86:C89"/>
    <mergeCell ref="C49:C52"/>
    <mergeCell ref="C53:C55"/>
    <mergeCell ref="C56:C59"/>
    <mergeCell ref="C60:C61"/>
    <mergeCell ref="C62:C64"/>
    <mergeCell ref="C65:C68"/>
    <mergeCell ref="C29:C31"/>
    <mergeCell ref="C32:C34"/>
    <mergeCell ref="C35:C38"/>
    <mergeCell ref="C39:C41"/>
    <mergeCell ref="C42:C45"/>
    <mergeCell ref="C46:C48"/>
    <mergeCell ref="B96:B99"/>
    <mergeCell ref="C2:C4"/>
    <mergeCell ref="C5:C7"/>
    <mergeCell ref="C8:C9"/>
    <mergeCell ref="C10:C12"/>
    <mergeCell ref="C13:C15"/>
    <mergeCell ref="C16:C18"/>
    <mergeCell ref="C19:C22"/>
    <mergeCell ref="C23:C25"/>
    <mergeCell ref="C26:C28"/>
    <mergeCell ref="B80:B82"/>
    <mergeCell ref="B83:B85"/>
    <mergeCell ref="B86:B89"/>
    <mergeCell ref="B90:B92"/>
    <mergeCell ref="B93:B95"/>
    <mergeCell ref="B60:B61"/>
    <mergeCell ref="B62:B64"/>
    <mergeCell ref="B65:B68"/>
    <mergeCell ref="B69:B71"/>
    <mergeCell ref="B72:B75"/>
    <mergeCell ref="B76:B79"/>
    <mergeCell ref="B39:B41"/>
    <mergeCell ref="B42:B45"/>
    <mergeCell ref="B46:B48"/>
    <mergeCell ref="B49:B52"/>
    <mergeCell ref="B53:B55"/>
    <mergeCell ref="B56:B59"/>
    <mergeCell ref="B19:B22"/>
    <mergeCell ref="B23:B25"/>
    <mergeCell ref="B26:B28"/>
    <mergeCell ref="B29:B31"/>
    <mergeCell ref="B32:B34"/>
    <mergeCell ref="B35:B38"/>
    <mergeCell ref="B2:B4"/>
    <mergeCell ref="B5:B7"/>
    <mergeCell ref="B8:B9"/>
    <mergeCell ref="B10:B12"/>
    <mergeCell ref="B13:B15"/>
    <mergeCell ref="B16:B18"/>
  </mergeCells>
  <phoneticPr fontId="3"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988731-1EC7-4D56-BAD5-4848F97006DA}">
  <dimension ref="A1"/>
  <sheetViews>
    <sheetView workbookViewId="0"/>
  </sheetViews>
  <sheetFormatPr baseColWidth="10" defaultRowHeight="14.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31"/>
  <sheetViews>
    <sheetView topLeftCell="A3" workbookViewId="0"/>
  </sheetViews>
  <sheetFormatPr baseColWidth="10" defaultColWidth="9" defaultRowHeight="14.25"/>
  <cols>
    <col min="1" max="1" width="12" customWidth="1"/>
    <col min="2" max="2" width="42" customWidth="1"/>
    <col min="3" max="3" width="14" customWidth="1"/>
    <col min="4" max="4" width="28" customWidth="1"/>
  </cols>
  <sheetData>
    <row r="1" spans="1:8" ht="15">
      <c r="A1" s="4" t="s">
        <v>1</v>
      </c>
      <c r="B1" s="4" t="s">
        <v>0</v>
      </c>
      <c r="C1" s="4" t="s">
        <v>329</v>
      </c>
      <c r="D1" s="4" t="s">
        <v>330</v>
      </c>
      <c r="F1" s="5" t="s">
        <v>331</v>
      </c>
      <c r="G1" s="6"/>
      <c r="H1" s="6"/>
    </row>
    <row r="2" spans="1:8">
      <c r="A2" s="2" t="s">
        <v>7</v>
      </c>
      <c r="B2" s="2" t="s">
        <v>6</v>
      </c>
      <c r="C2" s="2">
        <v>3</v>
      </c>
      <c r="D2" s="2" t="s">
        <v>10</v>
      </c>
      <c r="F2" s="7" t="s">
        <v>332</v>
      </c>
      <c r="G2" s="7"/>
      <c r="H2" s="7"/>
    </row>
    <row r="3" spans="1:8">
      <c r="A3" s="2" t="s">
        <v>19</v>
      </c>
      <c r="B3" s="2" t="s">
        <v>18</v>
      </c>
      <c r="C3" s="2">
        <v>3</v>
      </c>
      <c r="D3" s="2" t="s">
        <v>10</v>
      </c>
      <c r="F3" s="7"/>
      <c r="G3" s="7"/>
      <c r="H3" s="7"/>
    </row>
    <row r="4" spans="1:8">
      <c r="A4" s="2" t="s">
        <v>30</v>
      </c>
      <c r="B4" s="2" t="s">
        <v>29</v>
      </c>
      <c r="C4" s="2">
        <v>2</v>
      </c>
      <c r="D4" s="2" t="s">
        <v>10</v>
      </c>
      <c r="F4" s="7"/>
      <c r="G4" s="7"/>
      <c r="H4" s="7"/>
    </row>
    <row r="5" spans="1:8">
      <c r="A5" s="2" t="s">
        <v>38</v>
      </c>
      <c r="B5" s="2" t="s">
        <v>37</v>
      </c>
      <c r="C5" s="2">
        <v>3</v>
      </c>
      <c r="D5" s="2" t="s">
        <v>10</v>
      </c>
      <c r="F5" s="7"/>
      <c r="G5" s="7"/>
      <c r="H5" s="7"/>
    </row>
    <row r="6" spans="1:8">
      <c r="A6" s="2" t="s">
        <v>49</v>
      </c>
      <c r="B6" s="2" t="s">
        <v>48</v>
      </c>
      <c r="C6" s="2">
        <v>3</v>
      </c>
      <c r="D6" s="2" t="s">
        <v>333</v>
      </c>
      <c r="F6" s="7"/>
      <c r="G6" s="7"/>
      <c r="H6" s="7"/>
    </row>
    <row r="7" spans="1:8">
      <c r="A7" s="2" t="s">
        <v>61</v>
      </c>
      <c r="B7" s="2" t="s">
        <v>60</v>
      </c>
      <c r="C7" s="2">
        <v>3</v>
      </c>
      <c r="D7" s="2" t="s">
        <v>10</v>
      </c>
    </row>
    <row r="8" spans="1:8">
      <c r="A8" s="2" t="s">
        <v>72</v>
      </c>
      <c r="B8" s="2" t="s">
        <v>71</v>
      </c>
      <c r="C8" s="2">
        <v>4</v>
      </c>
      <c r="D8" s="2" t="s">
        <v>10</v>
      </c>
    </row>
    <row r="9" spans="1:8">
      <c r="A9" s="2" t="s">
        <v>86</v>
      </c>
      <c r="B9" s="2" t="s">
        <v>85</v>
      </c>
      <c r="C9" s="2">
        <v>3</v>
      </c>
      <c r="D9" s="2" t="s">
        <v>10</v>
      </c>
    </row>
    <row r="10" spans="1:8" ht="28.5">
      <c r="A10" s="2" t="s">
        <v>97</v>
      </c>
      <c r="B10" s="2" t="s">
        <v>96</v>
      </c>
      <c r="C10" s="2">
        <v>3</v>
      </c>
      <c r="D10" s="2" t="s">
        <v>10</v>
      </c>
    </row>
    <row r="11" spans="1:8">
      <c r="A11" s="2" t="s">
        <v>108</v>
      </c>
      <c r="B11" s="2" t="s">
        <v>107</v>
      </c>
      <c r="C11" s="2">
        <v>3</v>
      </c>
      <c r="D11" s="2" t="s">
        <v>333</v>
      </c>
    </row>
    <row r="12" spans="1:8" ht="28.5">
      <c r="A12" s="2" t="s">
        <v>118</v>
      </c>
      <c r="B12" s="2" t="s">
        <v>117</v>
      </c>
      <c r="C12" s="2">
        <v>3</v>
      </c>
      <c r="D12" s="2" t="s">
        <v>333</v>
      </c>
    </row>
    <row r="13" spans="1:8">
      <c r="A13" s="2" t="s">
        <v>129</v>
      </c>
      <c r="B13" s="2" t="s">
        <v>128</v>
      </c>
      <c r="C13" s="2">
        <v>4</v>
      </c>
      <c r="D13" s="2" t="s">
        <v>132</v>
      </c>
    </row>
    <row r="14" spans="1:8">
      <c r="A14" s="2" t="s">
        <v>141</v>
      </c>
      <c r="B14" s="2" t="s">
        <v>140</v>
      </c>
      <c r="C14" s="2">
        <v>3</v>
      </c>
      <c r="D14" s="2" t="s">
        <v>10</v>
      </c>
    </row>
    <row r="15" spans="1:8">
      <c r="A15" s="2" t="s">
        <v>152</v>
      </c>
      <c r="B15" s="2" t="s">
        <v>151</v>
      </c>
      <c r="C15" s="2">
        <v>4</v>
      </c>
      <c r="D15" s="2" t="s">
        <v>132</v>
      </c>
    </row>
    <row r="16" spans="1:8">
      <c r="A16" s="2" t="s">
        <v>163</v>
      </c>
      <c r="B16" s="2" t="s">
        <v>162</v>
      </c>
      <c r="C16" s="2">
        <v>3</v>
      </c>
      <c r="D16" s="2" t="s">
        <v>10</v>
      </c>
    </row>
    <row r="17" spans="1:4">
      <c r="A17" s="2" t="s">
        <v>174</v>
      </c>
      <c r="B17" s="2" t="s">
        <v>173</v>
      </c>
      <c r="C17" s="2">
        <v>4</v>
      </c>
      <c r="D17" s="2" t="s">
        <v>132</v>
      </c>
    </row>
    <row r="18" spans="1:4" ht="28.5">
      <c r="A18" s="2" t="s">
        <v>184</v>
      </c>
      <c r="B18" s="2" t="s">
        <v>183</v>
      </c>
      <c r="C18" s="2">
        <v>3</v>
      </c>
      <c r="D18" s="2" t="s">
        <v>10</v>
      </c>
    </row>
    <row r="19" spans="1:4">
      <c r="A19" s="2" t="s">
        <v>195</v>
      </c>
      <c r="B19" s="2" t="s">
        <v>194</v>
      </c>
      <c r="C19" s="2">
        <v>4</v>
      </c>
      <c r="D19" s="2" t="s">
        <v>132</v>
      </c>
    </row>
    <row r="20" spans="1:4">
      <c r="A20" s="2" t="s">
        <v>204</v>
      </c>
      <c r="B20" s="2" t="s">
        <v>203</v>
      </c>
      <c r="C20" s="2">
        <v>2</v>
      </c>
      <c r="D20" s="2" t="s">
        <v>10</v>
      </c>
    </row>
    <row r="21" spans="1:4">
      <c r="A21" s="2" t="s">
        <v>212</v>
      </c>
      <c r="B21" s="2" t="s">
        <v>211</v>
      </c>
      <c r="C21" s="2">
        <v>3</v>
      </c>
      <c r="D21" s="2" t="s">
        <v>10</v>
      </c>
    </row>
    <row r="22" spans="1:4">
      <c r="A22" s="2" t="s">
        <v>223</v>
      </c>
      <c r="B22" s="2" t="s">
        <v>222</v>
      </c>
      <c r="C22" s="2">
        <v>4</v>
      </c>
      <c r="D22" s="2" t="s">
        <v>333</v>
      </c>
    </row>
    <row r="23" spans="1:4">
      <c r="A23" s="2" t="s">
        <v>236</v>
      </c>
      <c r="B23" s="2" t="s">
        <v>235</v>
      </c>
      <c r="C23" s="2">
        <v>3</v>
      </c>
      <c r="D23" s="2" t="s">
        <v>10</v>
      </c>
    </row>
    <row r="24" spans="1:4">
      <c r="A24" s="2" t="s">
        <v>247</v>
      </c>
      <c r="B24" s="2" t="s">
        <v>246</v>
      </c>
      <c r="C24" s="2">
        <v>4</v>
      </c>
      <c r="D24" s="2" t="s">
        <v>132</v>
      </c>
    </row>
    <row r="25" spans="1:4">
      <c r="A25" s="2" t="s">
        <v>257</v>
      </c>
      <c r="B25" s="2" t="s">
        <v>256</v>
      </c>
      <c r="C25" s="2">
        <v>4</v>
      </c>
      <c r="D25" s="2" t="s">
        <v>132</v>
      </c>
    </row>
    <row r="26" spans="1:4">
      <c r="A26" s="2" t="s">
        <v>267</v>
      </c>
      <c r="B26" s="2" t="s">
        <v>266</v>
      </c>
      <c r="C26" s="2">
        <v>3</v>
      </c>
      <c r="D26" s="2" t="s">
        <v>10</v>
      </c>
    </row>
    <row r="27" spans="1:4">
      <c r="A27" s="2" t="s">
        <v>278</v>
      </c>
      <c r="B27" s="2" t="s">
        <v>277</v>
      </c>
      <c r="C27" s="2">
        <v>3</v>
      </c>
      <c r="D27" s="2" t="s">
        <v>10</v>
      </c>
    </row>
    <row r="28" spans="1:4">
      <c r="A28" s="2" t="s">
        <v>289</v>
      </c>
      <c r="B28" s="2" t="s">
        <v>288</v>
      </c>
      <c r="C28" s="2">
        <v>4</v>
      </c>
      <c r="D28" s="2" t="s">
        <v>132</v>
      </c>
    </row>
    <row r="29" spans="1:4">
      <c r="A29" s="2" t="s">
        <v>298</v>
      </c>
      <c r="B29" s="2" t="s">
        <v>297</v>
      </c>
      <c r="C29" s="2">
        <v>3</v>
      </c>
      <c r="D29" s="2" t="s">
        <v>10</v>
      </c>
    </row>
    <row r="30" spans="1:4">
      <c r="A30" s="2" t="s">
        <v>309</v>
      </c>
      <c r="B30" s="2" t="s">
        <v>308</v>
      </c>
      <c r="C30" s="2">
        <v>3</v>
      </c>
      <c r="D30" s="2" t="s">
        <v>10</v>
      </c>
    </row>
    <row r="31" spans="1:4" ht="28.5">
      <c r="A31" s="2" t="s">
        <v>320</v>
      </c>
      <c r="B31" s="2" t="s">
        <v>319</v>
      </c>
      <c r="C31" s="2">
        <v>4</v>
      </c>
      <c r="D31" s="2" t="s">
        <v>132</v>
      </c>
    </row>
  </sheetData>
  <mergeCells count="2">
    <mergeCell ref="F1:H1"/>
    <mergeCell ref="F2:H6"/>
  </mergeCell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BFBE1-5408-46A2-95E0-D1E6518C16BF}">
  <dimension ref="A1:G99"/>
  <sheetViews>
    <sheetView topLeftCell="A32" workbookViewId="0">
      <selection activeCell="G12" sqref="G12"/>
    </sheetView>
  </sheetViews>
  <sheetFormatPr baseColWidth="10" defaultRowHeight="14.25"/>
  <cols>
    <col min="1" max="1" width="12.75" bestFit="1" customWidth="1"/>
    <col min="2" max="2" width="56" customWidth="1"/>
    <col min="3" max="3" width="28.125" bestFit="1" customWidth="1"/>
    <col min="6" max="6" width="12" customWidth="1"/>
  </cols>
  <sheetData>
    <row r="1" spans="1:7" ht="15">
      <c r="A1" s="8" t="s">
        <v>401</v>
      </c>
      <c r="B1" s="8" t="s">
        <v>334</v>
      </c>
      <c r="C1" s="8" t="s">
        <v>335</v>
      </c>
      <c r="F1" s="1" t="s">
        <v>1</v>
      </c>
    </row>
    <row r="2" spans="1:7">
      <c r="A2" s="2" t="s">
        <v>298</v>
      </c>
      <c r="B2" s="2" t="s">
        <v>391</v>
      </c>
      <c r="C2" s="2" t="s">
        <v>348</v>
      </c>
      <c r="F2" s="3" t="s">
        <v>298</v>
      </c>
      <c r="G2" t="str">
        <f>LOOKUP(F2,$A$2:$C$52)</f>
        <v>Sandoval Zapata Lorena Beatriz</v>
      </c>
    </row>
    <row r="3" spans="1:7">
      <c r="A3" s="2" t="s">
        <v>320</v>
      </c>
      <c r="B3" s="2" t="s">
        <v>399</v>
      </c>
      <c r="C3" s="2" t="s">
        <v>359</v>
      </c>
      <c r="F3" s="3" t="s">
        <v>298</v>
      </c>
      <c r="G3" t="str">
        <f>LOOKUP(F3,$A$2:$C$52)</f>
        <v>Sandoval Zapata Lorena Beatriz</v>
      </c>
    </row>
    <row r="4" spans="1:7">
      <c r="A4" s="2" t="s">
        <v>309</v>
      </c>
      <c r="B4" s="2" t="s">
        <v>351</v>
      </c>
      <c r="C4" s="2" t="s">
        <v>341</v>
      </c>
      <c r="F4" s="3" t="s">
        <v>298</v>
      </c>
      <c r="G4" t="str">
        <f>LOOKUP(F4,$A$2:$C$52)</f>
        <v>Sandoval Zapata Lorena Beatriz</v>
      </c>
    </row>
    <row r="5" spans="1:7">
      <c r="A5" s="2" t="s">
        <v>7</v>
      </c>
      <c r="B5" s="2" t="s">
        <v>382</v>
      </c>
      <c r="C5" s="2" t="s">
        <v>356</v>
      </c>
      <c r="F5" s="3" t="s">
        <v>320</v>
      </c>
      <c r="G5" t="str">
        <f>LOOKUP(F5,$A$2:$C$52)</f>
        <v>Acevedo Aguayo Mario Eduardo</v>
      </c>
    </row>
    <row r="6" spans="1:7">
      <c r="A6" s="2" t="s">
        <v>118</v>
      </c>
      <c r="B6" s="2" t="s">
        <v>357</v>
      </c>
      <c r="C6" s="2" t="s">
        <v>356</v>
      </c>
      <c r="F6" s="3" t="s">
        <v>320</v>
      </c>
      <c r="G6" t="str">
        <f>LOOKUP(F6,$A$2:$C$52)</f>
        <v>Acevedo Aguayo Mario Eduardo</v>
      </c>
    </row>
    <row r="7" spans="1:7">
      <c r="A7" s="2" t="s">
        <v>278</v>
      </c>
      <c r="B7" s="2" t="s">
        <v>358</v>
      </c>
      <c r="C7" s="2" t="s">
        <v>359</v>
      </c>
      <c r="F7" s="3" t="s">
        <v>320</v>
      </c>
      <c r="G7" t="str">
        <f>LOOKUP(F7,$A$2:$C$52)</f>
        <v>Acevedo Aguayo Mario Eduardo</v>
      </c>
    </row>
    <row r="8" spans="1:7">
      <c r="A8" s="2" t="s">
        <v>267</v>
      </c>
      <c r="B8" s="2" t="s">
        <v>345</v>
      </c>
      <c r="C8" s="2" t="s">
        <v>341</v>
      </c>
      <c r="F8" s="3" t="s">
        <v>320</v>
      </c>
      <c r="G8" t="str">
        <f>LOOKUP(F8,$A$2:$C$52)</f>
        <v>Acevedo Aguayo Mario Eduardo</v>
      </c>
    </row>
    <row r="9" spans="1:7">
      <c r="A9" s="2" t="s">
        <v>204</v>
      </c>
      <c r="B9" s="2" t="s">
        <v>203</v>
      </c>
      <c r="C9" s="2" t="s">
        <v>339</v>
      </c>
      <c r="F9" s="3" t="s">
        <v>309</v>
      </c>
      <c r="G9" t="str">
        <f>LOOKUP(F9,$A$2:$C$52)</f>
        <v>Vallejos Catrilao Gonzalo Hernán</v>
      </c>
    </row>
    <row r="10" spans="1:7">
      <c r="A10" s="2" t="s">
        <v>129</v>
      </c>
      <c r="B10" s="2" t="s">
        <v>380</v>
      </c>
      <c r="C10" s="2" t="s">
        <v>356</v>
      </c>
      <c r="F10" s="3" t="s">
        <v>309</v>
      </c>
      <c r="G10" t="str">
        <f>LOOKUP(F10,$A$2:$C$52)</f>
        <v>Vallejos Catrilao Gonzalo Hernán</v>
      </c>
    </row>
    <row r="11" spans="1:7">
      <c r="A11" s="2" t="s">
        <v>30</v>
      </c>
      <c r="B11" s="2" t="s">
        <v>340</v>
      </c>
      <c r="C11" s="2" t="s">
        <v>341</v>
      </c>
      <c r="F11" s="3" t="s">
        <v>309</v>
      </c>
      <c r="G11" t="str">
        <f>LOOKUP(F11,$A$2:$C$52)</f>
        <v>Vallejos Catrilao Gonzalo Hernán</v>
      </c>
    </row>
    <row r="12" spans="1:7">
      <c r="A12" s="2" t="s">
        <v>212</v>
      </c>
      <c r="B12" s="2" t="s">
        <v>352</v>
      </c>
      <c r="C12" s="2" t="s">
        <v>353</v>
      </c>
      <c r="F12" s="3" t="s">
        <v>7</v>
      </c>
      <c r="G12" t="str">
        <f>LOOKUP(F12,$A$2:$C$52)</f>
        <v>Saravia Martinez Antonio Javier</v>
      </c>
    </row>
    <row r="13" spans="1:7">
      <c r="A13" s="2" t="s">
        <v>49</v>
      </c>
      <c r="B13" s="2" t="s">
        <v>383</v>
      </c>
      <c r="C13" s="2" t="s">
        <v>348</v>
      </c>
      <c r="F13" s="3" t="s">
        <v>7</v>
      </c>
      <c r="G13" t="str">
        <f>LOOKUP(F13,$A$2:$C$52)</f>
        <v>Saravia Martinez Antonio Javier</v>
      </c>
    </row>
    <row r="14" spans="1:7">
      <c r="A14" s="2" t="s">
        <v>108</v>
      </c>
      <c r="B14" s="2" t="s">
        <v>349</v>
      </c>
      <c r="C14" s="2" t="s">
        <v>348</v>
      </c>
      <c r="F14" s="3" t="s">
        <v>7</v>
      </c>
      <c r="G14" t="str">
        <f>LOOKUP(F14,$A$2:$C$52)</f>
        <v>Saravia Martinez Antonio Javier</v>
      </c>
    </row>
    <row r="15" spans="1:7">
      <c r="A15" s="2" t="s">
        <v>141</v>
      </c>
      <c r="B15" s="2" t="s">
        <v>346</v>
      </c>
      <c r="C15" s="2" t="s">
        <v>347</v>
      </c>
      <c r="F15" s="3" t="s">
        <v>118</v>
      </c>
      <c r="G15" t="str">
        <f>LOOKUP(F15,$A$2:$C$52)</f>
        <v>Saravia Martinez Antonio Javier</v>
      </c>
    </row>
    <row r="16" spans="1:7">
      <c r="A16" s="2" t="s">
        <v>141</v>
      </c>
      <c r="B16" s="2" t="s">
        <v>346</v>
      </c>
      <c r="C16" s="2" t="s">
        <v>341</v>
      </c>
      <c r="F16" s="3" t="s">
        <v>118</v>
      </c>
      <c r="G16" t="str">
        <f>LOOKUP(F16,$A$2:$C$52)</f>
        <v>Saravia Martinez Antonio Javier</v>
      </c>
    </row>
    <row r="17" spans="1:7">
      <c r="A17" s="2" t="s">
        <v>38</v>
      </c>
      <c r="B17" s="2" t="s">
        <v>37</v>
      </c>
      <c r="C17" s="2" t="s">
        <v>348</v>
      </c>
      <c r="F17" s="3" t="s">
        <v>118</v>
      </c>
      <c r="G17" t="str">
        <f>LOOKUP(F17,$A$2:$C$52)</f>
        <v>Saravia Martinez Antonio Javier</v>
      </c>
    </row>
    <row r="18" spans="1:7">
      <c r="A18" s="2" t="s">
        <v>152</v>
      </c>
      <c r="B18" s="2" t="s">
        <v>373</v>
      </c>
      <c r="C18" s="2" t="s">
        <v>359</v>
      </c>
      <c r="F18" s="3" t="s">
        <v>278</v>
      </c>
      <c r="G18" t="str">
        <f>LOOKUP(F18,$A$2:$C$52)</f>
        <v>Acevedo Aguayo Mario Eduardo</v>
      </c>
    </row>
    <row r="19" spans="1:7">
      <c r="A19" s="2" t="s">
        <v>174</v>
      </c>
      <c r="B19" s="2" t="s">
        <v>173</v>
      </c>
      <c r="C19" s="2" t="s">
        <v>347</v>
      </c>
      <c r="F19" s="3" t="s">
        <v>278</v>
      </c>
      <c r="G19" t="str">
        <f>LOOKUP(F19,$A$2:$C$52)</f>
        <v>Acevedo Aguayo Mario Eduardo</v>
      </c>
    </row>
    <row r="20" spans="1:7">
      <c r="A20" s="2" t="s">
        <v>184</v>
      </c>
      <c r="B20" s="2" t="s">
        <v>363</v>
      </c>
      <c r="C20" s="2" t="s">
        <v>364</v>
      </c>
      <c r="F20" s="3" t="s">
        <v>278</v>
      </c>
      <c r="G20" t="str">
        <f>LOOKUP(F20,$A$2:$C$52)</f>
        <v>Acevedo Aguayo Mario Eduardo</v>
      </c>
    </row>
    <row r="21" spans="1:7">
      <c r="A21" s="2" t="s">
        <v>247</v>
      </c>
      <c r="B21" s="2" t="s">
        <v>354</v>
      </c>
      <c r="C21" s="2" t="s">
        <v>348</v>
      </c>
      <c r="F21" s="3" t="s">
        <v>267</v>
      </c>
      <c r="G21" t="str">
        <f>LOOKUP(F21,$A$2:$C$52)</f>
        <v>Vallejos Catrilao Gonzalo Hernán</v>
      </c>
    </row>
    <row r="22" spans="1:7">
      <c r="A22" s="2" t="s">
        <v>97</v>
      </c>
      <c r="B22" s="2" t="s">
        <v>355</v>
      </c>
      <c r="C22" s="2" t="s">
        <v>356</v>
      </c>
      <c r="F22" s="3" t="s">
        <v>267</v>
      </c>
      <c r="G22" t="str">
        <f>LOOKUP(F22,$A$2:$C$52)</f>
        <v>Vallejos Catrilao Gonzalo Hernán</v>
      </c>
    </row>
    <row r="23" spans="1:7">
      <c r="A23" s="2" t="s">
        <v>195</v>
      </c>
      <c r="B23" s="2" t="s">
        <v>371</v>
      </c>
      <c r="C23" s="2" t="s">
        <v>347</v>
      </c>
      <c r="F23" s="3" t="s">
        <v>267</v>
      </c>
      <c r="G23" t="str">
        <f>LOOKUP(F23,$A$2:$C$52)</f>
        <v>Vallejos Catrilao Gonzalo Hernán</v>
      </c>
    </row>
    <row r="24" spans="1:7" ht="28.5">
      <c r="A24" s="2" t="s">
        <v>195</v>
      </c>
      <c r="B24" s="2" t="s">
        <v>371</v>
      </c>
      <c r="C24" s="2" t="s">
        <v>376</v>
      </c>
      <c r="F24" s="3" t="s">
        <v>204</v>
      </c>
      <c r="G24" t="str">
        <f>LOOKUP(F24,$A$2:$C$52)</f>
        <v>Gutiérrez Vásquez Luis Anibal</v>
      </c>
    </row>
    <row r="25" spans="1:7">
      <c r="A25" s="2" t="s">
        <v>336</v>
      </c>
      <c r="B25" s="2" t="s">
        <v>337</v>
      </c>
      <c r="C25" s="2" t="s">
        <v>338</v>
      </c>
      <c r="F25" s="3" t="s">
        <v>204</v>
      </c>
      <c r="G25" t="str">
        <f>LOOKUP(F25,$A$2:$C$52)</f>
        <v>Gutiérrez Vásquez Luis Anibal</v>
      </c>
    </row>
    <row r="26" spans="1:7" ht="28.5">
      <c r="A26" s="2" t="s">
        <v>72</v>
      </c>
      <c r="B26" s="2" t="s">
        <v>71</v>
      </c>
      <c r="C26" s="2" t="s">
        <v>376</v>
      </c>
      <c r="F26" s="3" t="s">
        <v>129</v>
      </c>
      <c r="G26" t="str">
        <f>LOOKUP(F26,$A$2:$C$52)</f>
        <v>Saravia Martinez Antonio Javier</v>
      </c>
    </row>
    <row r="27" spans="1:7">
      <c r="A27" s="2" t="s">
        <v>223</v>
      </c>
      <c r="B27" s="2" t="s">
        <v>395</v>
      </c>
      <c r="C27" s="2" t="s">
        <v>347</v>
      </c>
      <c r="F27" s="3" t="s">
        <v>129</v>
      </c>
      <c r="G27" t="str">
        <f>LOOKUP(F27,$A$2:$C$52)</f>
        <v>Saravia Martinez Antonio Javier</v>
      </c>
    </row>
    <row r="28" spans="1:7">
      <c r="A28" s="2" t="s">
        <v>236</v>
      </c>
      <c r="B28" s="2" t="s">
        <v>374</v>
      </c>
      <c r="C28" s="2" t="s">
        <v>347</v>
      </c>
      <c r="F28" s="3" t="s">
        <v>129</v>
      </c>
      <c r="G28" t="str">
        <f>LOOKUP(F28,$A$2:$C$52)</f>
        <v>Saravia Martinez Antonio Javier</v>
      </c>
    </row>
    <row r="29" spans="1:7" ht="28.5">
      <c r="A29" s="2" t="s">
        <v>236</v>
      </c>
      <c r="B29" s="2" t="s">
        <v>374</v>
      </c>
      <c r="C29" s="2" t="s">
        <v>376</v>
      </c>
      <c r="F29" s="3" t="s">
        <v>129</v>
      </c>
      <c r="G29" t="str">
        <f>LOOKUP(F29,$A$2:$C$52)</f>
        <v>Saravia Martinez Antonio Javier</v>
      </c>
    </row>
    <row r="30" spans="1:7">
      <c r="A30" s="2" t="s">
        <v>289</v>
      </c>
      <c r="B30" s="2" t="s">
        <v>375</v>
      </c>
      <c r="C30" s="2" t="s">
        <v>356</v>
      </c>
      <c r="F30" s="3" t="s">
        <v>30</v>
      </c>
      <c r="G30" t="str">
        <f>LOOKUP(F30,$A$2:$C$52)</f>
        <v>Vallejos Catrilao Gonzalo Hernán</v>
      </c>
    </row>
    <row r="31" spans="1:7">
      <c r="A31" s="2" t="s">
        <v>289</v>
      </c>
      <c r="B31" s="2" t="s">
        <v>375</v>
      </c>
      <c r="C31" s="2" t="s">
        <v>359</v>
      </c>
      <c r="F31" s="3" t="s">
        <v>30</v>
      </c>
      <c r="G31" t="str">
        <f>LOOKUP(F31,$A$2:$C$52)</f>
        <v>Vallejos Catrilao Gonzalo Hernán</v>
      </c>
    </row>
    <row r="32" spans="1:7" ht="28.5">
      <c r="A32" s="2" t="s">
        <v>86</v>
      </c>
      <c r="B32" s="2" t="s">
        <v>85</v>
      </c>
      <c r="C32" s="2" t="s">
        <v>376</v>
      </c>
      <c r="F32" s="3" t="s">
        <v>212</v>
      </c>
      <c r="G32" t="str">
        <f>LOOKUP(F32,$A$2:$C$52)</f>
        <v>García Moscoso Richard Fabian</v>
      </c>
    </row>
    <row r="33" spans="1:7">
      <c r="A33" s="2" t="s">
        <v>257</v>
      </c>
      <c r="B33" s="2" t="s">
        <v>256</v>
      </c>
      <c r="C33" s="2" t="s">
        <v>348</v>
      </c>
      <c r="F33" s="3" t="s">
        <v>212</v>
      </c>
      <c r="G33" t="str">
        <f>LOOKUP(F33,$A$2:$C$52)</f>
        <v>García Moscoso Richard Fabian</v>
      </c>
    </row>
    <row r="34" spans="1:7">
      <c r="A34" s="2" t="s">
        <v>257</v>
      </c>
      <c r="B34" s="2" t="s">
        <v>256</v>
      </c>
      <c r="C34" s="2" t="s">
        <v>341</v>
      </c>
      <c r="F34" s="3" t="s">
        <v>212</v>
      </c>
      <c r="G34" t="str">
        <f>LOOKUP(F34,$A$2:$C$52)</f>
        <v>García Moscoso Richard Fabian</v>
      </c>
    </row>
    <row r="35" spans="1:7">
      <c r="A35" s="2" t="s">
        <v>257</v>
      </c>
      <c r="B35" s="2" t="s">
        <v>256</v>
      </c>
      <c r="C35" s="2" t="s">
        <v>350</v>
      </c>
      <c r="F35" s="3" t="s">
        <v>49</v>
      </c>
      <c r="G35" t="str">
        <f>LOOKUP(F35,$A$2:$C$52)</f>
        <v>Sandoval Zapata Lorena Beatriz</v>
      </c>
    </row>
    <row r="36" spans="1:7">
      <c r="A36" s="2" t="s">
        <v>19</v>
      </c>
      <c r="B36" s="2" t="s">
        <v>18</v>
      </c>
      <c r="C36" s="2" t="s">
        <v>359</v>
      </c>
      <c r="F36" s="3" t="s">
        <v>49</v>
      </c>
      <c r="G36" t="str">
        <f>LOOKUP(F36,$A$2:$C$52)</f>
        <v>Sandoval Zapata Lorena Beatriz</v>
      </c>
    </row>
    <row r="37" spans="1:7">
      <c r="A37" s="2" t="s">
        <v>342</v>
      </c>
      <c r="B37" s="2" t="s">
        <v>343</v>
      </c>
      <c r="C37" s="2" t="s">
        <v>344</v>
      </c>
      <c r="F37" s="3" t="s">
        <v>49</v>
      </c>
      <c r="G37" t="str">
        <f>LOOKUP(F37,$A$2:$C$52)</f>
        <v>Sandoval Zapata Lorena Beatriz</v>
      </c>
    </row>
    <row r="38" spans="1:7">
      <c r="A38" s="2" t="s">
        <v>342</v>
      </c>
      <c r="B38" s="2" t="s">
        <v>343</v>
      </c>
      <c r="C38" s="2" t="s">
        <v>353</v>
      </c>
      <c r="F38" s="3" t="s">
        <v>108</v>
      </c>
      <c r="G38" t="str">
        <f>LOOKUP(F38,$A$2:$C$52)</f>
        <v>Sandoval Zapata Lorena Beatriz</v>
      </c>
    </row>
    <row r="39" spans="1:7">
      <c r="A39" s="2" t="s">
        <v>360</v>
      </c>
      <c r="B39" s="2" t="s">
        <v>361</v>
      </c>
      <c r="C39" s="2" t="s">
        <v>362</v>
      </c>
      <c r="F39" s="3" t="s">
        <v>108</v>
      </c>
      <c r="G39" t="str">
        <f>LOOKUP(F39,$A$2:$C$52)</f>
        <v>Sandoval Zapata Lorena Beatriz</v>
      </c>
    </row>
    <row r="40" spans="1:7">
      <c r="A40" s="2" t="s">
        <v>385</v>
      </c>
      <c r="B40" s="2" t="s">
        <v>386</v>
      </c>
      <c r="C40" s="2" t="s">
        <v>387</v>
      </c>
      <c r="F40" s="3" t="s">
        <v>108</v>
      </c>
      <c r="G40" t="str">
        <f>LOOKUP(F40,$A$2:$C$52)</f>
        <v>Sandoval Zapata Lorena Beatriz</v>
      </c>
    </row>
    <row r="41" spans="1:7">
      <c r="A41" s="2" t="s">
        <v>368</v>
      </c>
      <c r="B41" s="2" t="s">
        <v>369</v>
      </c>
      <c r="C41" s="2" t="s">
        <v>370</v>
      </c>
      <c r="F41" s="3" t="s">
        <v>141</v>
      </c>
      <c r="G41" t="str">
        <f>LOOKUP(F41,$A$2:$C$52)</f>
        <v>Vallejos Catrilao Gonzalo Hernán</v>
      </c>
    </row>
    <row r="42" spans="1:7">
      <c r="A42" s="2" t="s">
        <v>368</v>
      </c>
      <c r="B42" s="2" t="s">
        <v>369</v>
      </c>
      <c r="C42" s="2" t="s">
        <v>372</v>
      </c>
      <c r="F42" s="3" t="s">
        <v>141</v>
      </c>
      <c r="G42" t="str">
        <f>LOOKUP(F42,$A$2:$C$52)</f>
        <v>Vallejos Catrilao Gonzalo Hernán</v>
      </c>
    </row>
    <row r="43" spans="1:7">
      <c r="A43" s="2" t="s">
        <v>61</v>
      </c>
      <c r="B43" s="2" t="s">
        <v>381</v>
      </c>
      <c r="C43" s="2" t="s">
        <v>350</v>
      </c>
      <c r="F43" s="3" t="s">
        <v>141</v>
      </c>
      <c r="G43" t="str">
        <f>LOOKUP(F43,$A$2:$C$52)</f>
        <v>Vallejos Catrilao Gonzalo Hernán</v>
      </c>
    </row>
    <row r="44" spans="1:7">
      <c r="A44" s="2" t="s">
        <v>388</v>
      </c>
      <c r="B44" s="2" t="s">
        <v>389</v>
      </c>
      <c r="C44" s="2" t="s">
        <v>390</v>
      </c>
      <c r="F44" s="3" t="s">
        <v>38</v>
      </c>
      <c r="G44" t="str">
        <f>LOOKUP(F44,$A$2:$C$52)</f>
        <v>Sandoval Zapata Lorena Beatriz</v>
      </c>
    </row>
    <row r="45" spans="1:7">
      <c r="A45" s="2" t="s">
        <v>365</v>
      </c>
      <c r="B45" s="2" t="s">
        <v>366</v>
      </c>
      <c r="C45" s="2" t="s">
        <v>367</v>
      </c>
      <c r="F45" s="3" t="s">
        <v>38</v>
      </c>
      <c r="G45" t="str">
        <f>LOOKUP(F45,$A$2:$C$52)</f>
        <v>Sandoval Zapata Lorena Beatriz</v>
      </c>
    </row>
    <row r="46" spans="1:7">
      <c r="A46" s="2" t="s">
        <v>377</v>
      </c>
      <c r="B46" s="2" t="s">
        <v>378</v>
      </c>
      <c r="C46" s="2" t="s">
        <v>367</v>
      </c>
      <c r="F46" s="3" t="s">
        <v>38</v>
      </c>
      <c r="G46" t="str">
        <f>LOOKUP(F46,$A$2:$C$52)</f>
        <v>Sandoval Zapata Lorena Beatriz</v>
      </c>
    </row>
    <row r="47" spans="1:7">
      <c r="A47" s="2" t="s">
        <v>377</v>
      </c>
      <c r="B47" s="2" t="s">
        <v>378</v>
      </c>
      <c r="C47" s="2" t="s">
        <v>384</v>
      </c>
      <c r="F47" s="3" t="s">
        <v>152</v>
      </c>
      <c r="G47" t="str">
        <f>LOOKUP(F47,$A$2:$C$52)</f>
        <v>Acevedo Aguayo Mario Eduardo</v>
      </c>
    </row>
    <row r="48" spans="1:7">
      <c r="A48" s="2" t="s">
        <v>396</v>
      </c>
      <c r="B48" s="2" t="s">
        <v>397</v>
      </c>
      <c r="C48" s="2" t="s">
        <v>394</v>
      </c>
      <c r="F48" s="3" t="s">
        <v>152</v>
      </c>
      <c r="G48" t="str">
        <f>LOOKUP(F48,$A$2:$C$52)</f>
        <v>Acevedo Aguayo Mario Eduardo</v>
      </c>
    </row>
    <row r="49" spans="1:7">
      <c r="A49" s="2" t="s">
        <v>396</v>
      </c>
      <c r="B49" s="2" t="s">
        <v>397</v>
      </c>
      <c r="C49" s="2" t="s">
        <v>372</v>
      </c>
      <c r="F49" s="3" t="s">
        <v>152</v>
      </c>
      <c r="G49" t="str">
        <f>LOOKUP(F49,$A$2:$C$52)</f>
        <v>Acevedo Aguayo Mario Eduardo</v>
      </c>
    </row>
    <row r="50" spans="1:7">
      <c r="A50" s="2" t="s">
        <v>396</v>
      </c>
      <c r="B50" s="2" t="s">
        <v>397</v>
      </c>
      <c r="C50" s="2" t="s">
        <v>398</v>
      </c>
      <c r="F50" s="3" t="s">
        <v>152</v>
      </c>
      <c r="G50" t="str">
        <f>LOOKUP(F50,$A$2:$C$52)</f>
        <v>Acevedo Aguayo Mario Eduardo</v>
      </c>
    </row>
    <row r="51" spans="1:7">
      <c r="A51" s="2" t="s">
        <v>392</v>
      </c>
      <c r="B51" s="2" t="s">
        <v>393</v>
      </c>
      <c r="C51" s="2" t="s">
        <v>394</v>
      </c>
      <c r="F51" s="3" t="s">
        <v>174</v>
      </c>
      <c r="G51" t="str">
        <f>LOOKUP(F51,$A$2:$C$52)</f>
        <v>Vidal Carrasco Pilar Gabriela</v>
      </c>
    </row>
    <row r="52" spans="1:7">
      <c r="A52" s="2" t="s">
        <v>163</v>
      </c>
      <c r="B52" s="2" t="s">
        <v>379</v>
      </c>
      <c r="C52" s="2" t="s">
        <v>348</v>
      </c>
      <c r="F52" s="3" t="s">
        <v>174</v>
      </c>
      <c r="G52" t="str">
        <f>LOOKUP(F52,$A$2:$C$52)</f>
        <v>Vidal Carrasco Pilar Gabriela</v>
      </c>
    </row>
    <row r="53" spans="1:7">
      <c r="F53" s="3" t="s">
        <v>174</v>
      </c>
      <c r="G53" t="str">
        <f>LOOKUP(F53,$A$2:$C$52)</f>
        <v>Vidal Carrasco Pilar Gabriela</v>
      </c>
    </row>
    <row r="54" spans="1:7">
      <c r="F54" s="3" t="s">
        <v>174</v>
      </c>
      <c r="G54" t="str">
        <f>LOOKUP(F54,$A$2:$C$52)</f>
        <v>Vidal Carrasco Pilar Gabriela</v>
      </c>
    </row>
    <row r="55" spans="1:7">
      <c r="F55" s="3" t="s">
        <v>184</v>
      </c>
      <c r="G55" t="str">
        <f>LOOKUP(F55,$A$2:$C$52)</f>
        <v>Cruces Soto Sonia Margoth</v>
      </c>
    </row>
    <row r="56" spans="1:7">
      <c r="F56" s="3" t="s">
        <v>184</v>
      </c>
      <c r="G56" t="str">
        <f>LOOKUP(F56,$A$2:$C$52)</f>
        <v>Cruces Soto Sonia Margoth</v>
      </c>
    </row>
    <row r="57" spans="1:7">
      <c r="F57" s="3" t="s">
        <v>184</v>
      </c>
      <c r="G57" t="str">
        <f>LOOKUP(F57,$A$2:$C$52)</f>
        <v>Cruces Soto Sonia Margoth</v>
      </c>
    </row>
    <row r="58" spans="1:7">
      <c r="F58" s="3" t="s">
        <v>247</v>
      </c>
      <c r="G58" t="str">
        <f>LOOKUP(F58,$A$2:$C$52)</f>
        <v>Sandoval Zapata Lorena Beatriz</v>
      </c>
    </row>
    <row r="59" spans="1:7">
      <c r="F59" s="3" t="s">
        <v>247</v>
      </c>
      <c r="G59" t="str">
        <f>LOOKUP(F59,$A$2:$C$52)</f>
        <v>Sandoval Zapata Lorena Beatriz</v>
      </c>
    </row>
    <row r="60" spans="1:7">
      <c r="F60" s="3" t="s">
        <v>247</v>
      </c>
      <c r="G60" t="str">
        <f>LOOKUP(F60,$A$2:$C$52)</f>
        <v>Sandoval Zapata Lorena Beatriz</v>
      </c>
    </row>
    <row r="61" spans="1:7">
      <c r="F61" s="3" t="s">
        <v>247</v>
      </c>
      <c r="G61" t="str">
        <f>LOOKUP(F61,$A$2:$C$52)</f>
        <v>Sandoval Zapata Lorena Beatriz</v>
      </c>
    </row>
    <row r="62" spans="1:7">
      <c r="F62" s="3" t="s">
        <v>97</v>
      </c>
      <c r="G62" t="str">
        <f>LOOKUP(F62,$A$2:$C$52)</f>
        <v>Saravia Martinez Antonio Javier</v>
      </c>
    </row>
    <row r="63" spans="1:7">
      <c r="F63" s="3" t="s">
        <v>97</v>
      </c>
      <c r="G63" t="str">
        <f>LOOKUP(F63,$A$2:$C$52)</f>
        <v>Saravia Martinez Antonio Javier</v>
      </c>
    </row>
    <row r="64" spans="1:7">
      <c r="F64" s="3" t="s">
        <v>97</v>
      </c>
      <c r="G64" t="str">
        <f>LOOKUP(F64,$A$2:$C$52)</f>
        <v>Saravia Martinez Antonio Javier</v>
      </c>
    </row>
    <row r="65" spans="6:7">
      <c r="F65" s="3" t="s">
        <v>195</v>
      </c>
      <c r="G65" t="str">
        <f>LOOKUP(F65,$A$2:$C$52)</f>
        <v>Cifuentes Barrientos Carlos Alfredo</v>
      </c>
    </row>
    <row r="66" spans="6:7">
      <c r="F66" s="3" t="s">
        <v>195</v>
      </c>
      <c r="G66" t="str">
        <f>LOOKUP(F66,$A$2:$C$52)</f>
        <v>Cifuentes Barrientos Carlos Alfredo</v>
      </c>
    </row>
    <row r="67" spans="6:7">
      <c r="F67" s="3" t="s">
        <v>195</v>
      </c>
      <c r="G67" t="str">
        <f>LOOKUP(F67,$A$2:$C$52)</f>
        <v>Cifuentes Barrientos Carlos Alfredo</v>
      </c>
    </row>
    <row r="68" spans="6:7">
      <c r="F68" s="3" t="s">
        <v>195</v>
      </c>
      <c r="G68" t="str">
        <f>LOOKUP(F68,$A$2:$C$52)</f>
        <v>Cifuentes Barrientos Carlos Alfredo</v>
      </c>
    </row>
    <row r="69" spans="6:7">
      <c r="F69" s="3" t="s">
        <v>72</v>
      </c>
      <c r="G69" t="str">
        <f>LOOKUP(F69,$A$2:$C$52)</f>
        <v>Cifuentes Barrientos Carlos Alfredo</v>
      </c>
    </row>
    <row r="70" spans="6:7">
      <c r="F70" s="3" t="s">
        <v>72</v>
      </c>
      <c r="G70" t="str">
        <f>LOOKUP(F70,$A$2:$C$52)</f>
        <v>Cifuentes Barrientos Carlos Alfredo</v>
      </c>
    </row>
    <row r="71" spans="6:7">
      <c r="F71" s="3" t="s">
        <v>72</v>
      </c>
      <c r="G71" t="str">
        <f>LOOKUP(F71,$A$2:$C$52)</f>
        <v>Cifuentes Barrientos Carlos Alfredo</v>
      </c>
    </row>
    <row r="72" spans="6:7">
      <c r="F72" s="3" t="s">
        <v>72</v>
      </c>
      <c r="G72" t="str">
        <f>LOOKUP(F72,$A$2:$C$52)</f>
        <v>Cifuentes Barrientos Carlos Alfredo</v>
      </c>
    </row>
    <row r="73" spans="6:7">
      <c r="F73" s="3" t="s">
        <v>223</v>
      </c>
      <c r="G73" t="str">
        <f>LOOKUP(F73,$A$2:$C$52)</f>
        <v>Vidal Carrasco Pilar Gabriela</v>
      </c>
    </row>
    <row r="74" spans="6:7">
      <c r="F74" s="3" t="s">
        <v>223</v>
      </c>
      <c r="G74" t="str">
        <f>LOOKUP(F74,$A$2:$C$52)</f>
        <v>Vidal Carrasco Pilar Gabriela</v>
      </c>
    </row>
    <row r="75" spans="6:7">
      <c r="F75" s="3" t="s">
        <v>223</v>
      </c>
      <c r="G75" t="str">
        <f>LOOKUP(F75,$A$2:$C$52)</f>
        <v>Vidal Carrasco Pilar Gabriela</v>
      </c>
    </row>
    <row r="76" spans="6:7">
      <c r="F76" s="3" t="s">
        <v>223</v>
      </c>
      <c r="G76" t="str">
        <f>LOOKUP(F76,$A$2:$C$52)</f>
        <v>Vidal Carrasco Pilar Gabriela</v>
      </c>
    </row>
    <row r="77" spans="6:7">
      <c r="F77" s="3" t="s">
        <v>236</v>
      </c>
      <c r="G77" t="str">
        <f>LOOKUP(F77,$A$2:$C$52)</f>
        <v>Cifuentes Barrientos Carlos Alfredo</v>
      </c>
    </row>
    <row r="78" spans="6:7">
      <c r="F78" s="3" t="s">
        <v>236</v>
      </c>
      <c r="G78" t="str">
        <f>LOOKUP(F78,$A$2:$C$52)</f>
        <v>Cifuentes Barrientos Carlos Alfredo</v>
      </c>
    </row>
    <row r="79" spans="6:7">
      <c r="F79" s="3" t="s">
        <v>236</v>
      </c>
      <c r="G79" t="str">
        <f>LOOKUP(F79,$A$2:$C$52)</f>
        <v>Cifuentes Barrientos Carlos Alfredo</v>
      </c>
    </row>
    <row r="80" spans="6:7">
      <c r="F80" s="3" t="s">
        <v>289</v>
      </c>
      <c r="G80" t="str">
        <f>LOOKUP(F80,$A$2:$C$52)</f>
        <v>Acevedo Aguayo Mario Eduardo</v>
      </c>
    </row>
    <row r="81" spans="6:7">
      <c r="F81" s="3" t="s">
        <v>289</v>
      </c>
      <c r="G81" t="str">
        <f>LOOKUP(F81,$A$2:$C$52)</f>
        <v>Acevedo Aguayo Mario Eduardo</v>
      </c>
    </row>
    <row r="82" spans="6:7">
      <c r="F82" s="3" t="s">
        <v>289</v>
      </c>
      <c r="G82" t="str">
        <f>LOOKUP(F82,$A$2:$C$52)</f>
        <v>Acevedo Aguayo Mario Eduardo</v>
      </c>
    </row>
    <row r="83" spans="6:7">
      <c r="F83" s="3" t="s">
        <v>289</v>
      </c>
      <c r="G83" t="str">
        <f>LOOKUP(F83,$A$2:$C$52)</f>
        <v>Acevedo Aguayo Mario Eduardo</v>
      </c>
    </row>
    <row r="84" spans="6:7">
      <c r="F84" s="3" t="s">
        <v>86</v>
      </c>
      <c r="G84" t="str">
        <f>LOOKUP(F84,$A$2:$C$52)</f>
        <v>Cifuentes Barrientos Carlos Alfredo</v>
      </c>
    </row>
    <row r="85" spans="6:7">
      <c r="F85" s="3" t="s">
        <v>86</v>
      </c>
      <c r="G85" t="str">
        <f>LOOKUP(F85,$A$2:$C$52)</f>
        <v>Cifuentes Barrientos Carlos Alfredo</v>
      </c>
    </row>
    <row r="86" spans="6:7">
      <c r="F86" s="3" t="s">
        <v>86</v>
      </c>
      <c r="G86" t="str">
        <f>LOOKUP(F86,$A$2:$C$52)</f>
        <v>Cifuentes Barrientos Carlos Alfredo</v>
      </c>
    </row>
    <row r="87" spans="6:7">
      <c r="F87" s="3" t="s">
        <v>257</v>
      </c>
      <c r="G87" t="str">
        <f>LOOKUP(F87,$A$2:$C$52)</f>
        <v>Pezoa Sepúlveda Yerka Eugenia</v>
      </c>
    </row>
    <row r="88" spans="6:7">
      <c r="F88" s="3" t="s">
        <v>257</v>
      </c>
      <c r="G88" t="str">
        <f>LOOKUP(F88,$A$2:$C$52)</f>
        <v>Pezoa Sepúlveda Yerka Eugenia</v>
      </c>
    </row>
    <row r="89" spans="6:7">
      <c r="F89" s="3" t="s">
        <v>257</v>
      </c>
      <c r="G89" t="str">
        <f>LOOKUP(F89,$A$2:$C$52)</f>
        <v>Pezoa Sepúlveda Yerka Eugenia</v>
      </c>
    </row>
    <row r="90" spans="6:7">
      <c r="F90" s="3" t="s">
        <v>257</v>
      </c>
      <c r="G90" t="str">
        <f>LOOKUP(F90,$A$2:$C$52)</f>
        <v>Pezoa Sepúlveda Yerka Eugenia</v>
      </c>
    </row>
    <row r="91" spans="6:7">
      <c r="F91" s="3" t="s">
        <v>19</v>
      </c>
      <c r="G91" t="str">
        <f>LOOKUP(F91,$A$2:$C$52)</f>
        <v>Acevedo Aguayo Mario Eduardo</v>
      </c>
    </row>
    <row r="92" spans="6:7">
      <c r="F92" s="3" t="s">
        <v>19</v>
      </c>
      <c r="G92" t="str">
        <f>LOOKUP(F92,$A$2:$C$52)</f>
        <v>Acevedo Aguayo Mario Eduardo</v>
      </c>
    </row>
    <row r="93" spans="6:7">
      <c r="F93" s="3" t="s">
        <v>19</v>
      </c>
      <c r="G93" t="str">
        <f>LOOKUP(F93,$A$2:$C$52)</f>
        <v>Acevedo Aguayo Mario Eduardo</v>
      </c>
    </row>
    <row r="94" spans="6:7">
      <c r="F94" s="3" t="s">
        <v>61</v>
      </c>
      <c r="G94" t="str">
        <f>LOOKUP(F94,$A$2:$C$52)</f>
        <v>Pezoa Sepúlveda Yerka Eugenia</v>
      </c>
    </row>
    <row r="95" spans="6:7">
      <c r="F95" s="3" t="s">
        <v>61</v>
      </c>
      <c r="G95" t="str">
        <f>LOOKUP(F95,$A$2:$C$52)</f>
        <v>Pezoa Sepúlveda Yerka Eugenia</v>
      </c>
    </row>
    <row r="96" spans="6:7">
      <c r="F96" s="3" t="s">
        <v>61</v>
      </c>
      <c r="G96" t="str">
        <f>LOOKUP(F96,$A$2:$C$52)</f>
        <v>Pezoa Sepúlveda Yerka Eugenia</v>
      </c>
    </row>
    <row r="97" spans="6:7">
      <c r="F97" s="3" t="s">
        <v>163</v>
      </c>
      <c r="G97" t="str">
        <f>LOOKUP(F97,$A$2:$C$52)</f>
        <v>Sandoval Zapata Lorena Beatriz</v>
      </c>
    </row>
    <row r="98" spans="6:7">
      <c r="F98" s="3" t="s">
        <v>163</v>
      </c>
      <c r="G98" t="str">
        <f>LOOKUP(F98,$A$2:$C$52)</f>
        <v>Sandoval Zapata Lorena Beatriz</v>
      </c>
    </row>
    <row r="99" spans="6:7">
      <c r="F99" s="3" t="s">
        <v>163</v>
      </c>
      <c r="G99" t="str">
        <f>LOOKUP(F99,$A$2:$C$52)</f>
        <v>Sandoval Zapata Lorena Beatriz</v>
      </c>
    </row>
  </sheetData>
  <autoFilter ref="A1:C52" xr:uid="{37DBFBE1-5408-46A2-95E0-D1E6518C16BF}">
    <sortState xmlns:xlrd2="http://schemas.microsoft.com/office/spreadsheetml/2017/richdata2" ref="A2:C52">
      <sortCondition ref="A2:A52"/>
    </sortState>
  </autoFilter>
  <sortState xmlns:xlrd2="http://schemas.microsoft.com/office/spreadsheetml/2017/richdata2" ref="F2:G99">
    <sortCondition ref="F1:F99"/>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Matriz 30 descriptores</vt:lpstr>
      <vt:lpstr>Hoja3</vt:lpstr>
      <vt:lpstr>Hoja1</vt:lpstr>
      <vt:lpstr>Resumen</vt:lpstr>
      <vt:lpstr>Hoja2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Octavio Robles Chávez</cp:lastModifiedBy>
  <dcterms:modified xsi:type="dcterms:W3CDTF">2026-09-25T20:44:11Z</dcterms:modified>
</cp:coreProperties>
</file>